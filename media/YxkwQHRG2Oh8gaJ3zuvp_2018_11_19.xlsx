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zaffa\OneDrive\Documents\HRRP\"/>
    </mc:Choice>
  </mc:AlternateContent>
  <bookViews>
    <workbookView xWindow="0" yWindow="0" windowWidth="19200" windowHeight="7050" tabRatio="956" activeTab="3"/>
  </bookViews>
  <sheets>
    <sheet name="General Information" sheetId="9" r:id="rId1"/>
    <sheet name="Building GHG Emissions" sheetId="5" r:id="rId2"/>
    <sheet name="Material GHG" sheetId="2" r:id="rId3"/>
    <sheet name="Transport GHG " sheetId="8" r:id="rId4"/>
    <sheet name="Stone Masonry Cement Mortar 1F" sheetId="10" r:id="rId5"/>
    <sheet name="Stone Masonry Mud Mortar 1F" sheetId="13" r:id="rId6"/>
    <sheet name="Brick Masonry Cement Mortar 1F" sheetId="12" r:id="rId7"/>
    <sheet name="Brick Masonry Mud Mortar 1F" sheetId="14" r:id="rId8"/>
    <sheet name="CSEB 1F" sheetId="20" r:id="rId9"/>
    <sheet name="Earth Bag 1F" sheetId="17" r:id="rId10"/>
    <sheet name="Stone Masonry Cement Mortar 2F" sheetId="21" r:id="rId11"/>
    <sheet name="Brick Masonry Cement Mortar 2F" sheetId="22" r:id="rId12"/>
    <sheet name="Hollow Concrete Block 2F" sheetId="15" r:id="rId13"/>
    <sheet name="CSEB 2F" sheetId="16" r:id="rId14"/>
    <sheet name="Timber Structure 2F" sheetId="19" r:id="rId15"/>
    <sheet name="Bamboo Stone Hybrid 2F" sheetId="18" r:id="rId16"/>
    <sheet name="Building Types" sheetId="11" r:id="rId17"/>
    <sheet name="CO2 Conversions" sheetId="7" r:id="rId18"/>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6" i="2" l="1"/>
  <c r="C35" i="2"/>
  <c r="C34" i="2"/>
  <c r="C33" i="2"/>
  <c r="N57" i="5"/>
  <c r="K57" i="5"/>
  <c r="N56" i="5"/>
  <c r="K56" i="5"/>
  <c r="N55" i="5"/>
  <c r="K55" i="5"/>
  <c r="N54" i="5"/>
  <c r="K54" i="5"/>
  <c r="N53" i="5"/>
  <c r="K53" i="5"/>
  <c r="N52" i="5"/>
  <c r="K52" i="5"/>
  <c r="N51" i="5"/>
  <c r="K51" i="5"/>
  <c r="N50" i="5"/>
  <c r="K50" i="5"/>
  <c r="N49" i="5"/>
  <c r="K49" i="5"/>
  <c r="N48" i="5"/>
  <c r="K48" i="5"/>
  <c r="N47" i="5"/>
  <c r="K47" i="5"/>
  <c r="N46" i="5"/>
  <c r="K46" i="5"/>
  <c r="N45" i="5"/>
  <c r="K45" i="5"/>
  <c r="N44" i="5"/>
  <c r="K44" i="5"/>
  <c r="N43" i="5"/>
  <c r="K43" i="5"/>
  <c r="N42" i="5"/>
  <c r="K42" i="5"/>
  <c r="K41" i="5"/>
  <c r="N41" i="5" s="1"/>
  <c r="N58" i="5" s="1"/>
  <c r="C23" i="8"/>
  <c r="C22" i="18"/>
  <c r="D22" i="18"/>
  <c r="C22" i="19"/>
  <c r="D22" i="19"/>
  <c r="C22" i="21"/>
  <c r="D22" i="21"/>
  <c r="C22" i="17"/>
  <c r="D22" i="17"/>
  <c r="C22" i="20"/>
  <c r="D22" i="20"/>
  <c r="D22" i="14"/>
  <c r="C22" i="14" s="1"/>
  <c r="C27" i="13"/>
  <c r="D27" i="13"/>
  <c r="C23" i="15"/>
  <c r="C25" i="2"/>
  <c r="K26" i="5"/>
  <c r="D26" i="5"/>
  <c r="C22" i="5" l="1"/>
  <c r="D44" i="5" s="1"/>
  <c r="C23" i="5"/>
  <c r="D45" i="5" s="1"/>
  <c r="C24" i="5"/>
  <c r="D46" i="5" s="1"/>
  <c r="C25" i="5"/>
  <c r="D47" i="5" s="1"/>
  <c r="C26" i="5"/>
  <c r="D48" i="5" s="1"/>
  <c r="C27" i="5"/>
  <c r="D49" i="5" s="1"/>
  <c r="C28" i="5"/>
  <c r="D50" i="5" s="1"/>
  <c r="C29" i="5"/>
  <c r="D51" i="5" s="1"/>
  <c r="C30" i="5"/>
  <c r="D52" i="5" s="1"/>
  <c r="C31" i="5"/>
  <c r="D53" i="5" s="1"/>
  <c r="C32" i="5"/>
  <c r="D54" i="5" s="1"/>
  <c r="C33" i="5"/>
  <c r="D55" i="5" s="1"/>
  <c r="C34" i="5"/>
  <c r="D56" i="5" s="1"/>
  <c r="C35" i="5"/>
  <c r="D57" i="5" s="1"/>
  <c r="C21" i="5"/>
  <c r="D43" i="5" s="1"/>
  <c r="C20" i="5"/>
  <c r="D42" i="5" s="1"/>
  <c r="C19" i="5"/>
  <c r="D41" i="5" s="1"/>
  <c r="G41" i="5" s="1"/>
  <c r="K20" i="5"/>
  <c r="K21" i="5"/>
  <c r="K22" i="5"/>
  <c r="K25" i="5"/>
  <c r="K27" i="5"/>
  <c r="K28" i="5"/>
  <c r="K29" i="5"/>
  <c r="K30" i="5"/>
  <c r="K31" i="5"/>
  <c r="K32" i="5"/>
  <c r="K33" i="5"/>
  <c r="K34" i="5"/>
  <c r="K35" i="5"/>
  <c r="K19" i="5"/>
  <c r="D20" i="5"/>
  <c r="D21" i="5"/>
  <c r="D22" i="5"/>
  <c r="D25" i="5"/>
  <c r="D27" i="5"/>
  <c r="D28" i="5"/>
  <c r="D29" i="5"/>
  <c r="D30" i="5"/>
  <c r="D31" i="5"/>
  <c r="D32" i="5"/>
  <c r="D33" i="5"/>
  <c r="D34" i="5"/>
  <c r="D35" i="5"/>
  <c r="D19" i="5"/>
  <c r="C14" i="2"/>
  <c r="K23" i="5" s="1"/>
  <c r="C32" i="2"/>
  <c r="C26" i="17"/>
  <c r="D20" i="20"/>
  <c r="C20" i="18"/>
  <c r="D20" i="18"/>
  <c r="C19" i="18"/>
  <c r="C18" i="18"/>
  <c r="C17" i="18"/>
  <c r="C17" i="19"/>
  <c r="C15" i="19"/>
  <c r="D15" i="19"/>
  <c r="C13" i="19"/>
  <c r="C12" i="19"/>
  <c r="C11" i="19"/>
  <c r="C17" i="16"/>
  <c r="C16" i="16"/>
  <c r="C13" i="16"/>
  <c r="C12" i="16"/>
  <c r="D25" i="15"/>
  <c r="C25" i="15" s="1"/>
  <c r="C13" i="15"/>
  <c r="C12" i="15"/>
  <c r="C17" i="22"/>
  <c r="C15" i="22"/>
  <c r="C13" i="22"/>
  <c r="C12" i="22"/>
  <c r="C19" i="21"/>
  <c r="C17" i="21"/>
  <c r="C13" i="21"/>
  <c r="C12" i="21"/>
  <c r="C19" i="17"/>
  <c r="C17" i="17"/>
  <c r="C13" i="17"/>
  <c r="C12" i="17"/>
  <c r="C16" i="20"/>
  <c r="C18" i="14"/>
  <c r="C17" i="14"/>
  <c r="C15" i="14"/>
  <c r="D15" i="14"/>
  <c r="C17" i="12"/>
  <c r="C15" i="12"/>
  <c r="C13" i="12"/>
  <c r="C12" i="12"/>
  <c r="C19" i="13"/>
  <c r="C18" i="13"/>
  <c r="C17" i="13"/>
  <c r="C19" i="10"/>
  <c r="C17" i="10"/>
  <c r="C13" i="10"/>
  <c r="C12" i="10"/>
  <c r="D15" i="22"/>
  <c r="D23" i="5" l="1"/>
  <c r="C15" i="2"/>
  <c r="C22" i="8"/>
  <c r="K24" i="5" l="1"/>
  <c r="D24" i="5"/>
  <c r="D15" i="12"/>
  <c r="C20" i="20"/>
  <c r="C13" i="20"/>
  <c r="D37" i="2"/>
  <c r="L21" i="5" l="1"/>
  <c r="M21" i="5" s="1"/>
  <c r="L22" i="5"/>
  <c r="M22" i="5" s="1"/>
  <c r="L24" i="5"/>
  <c r="M24" i="5" s="1"/>
  <c r="L25" i="5"/>
  <c r="M25" i="5" s="1"/>
  <c r="L26" i="5"/>
  <c r="M26" i="5" s="1"/>
  <c r="L27" i="5"/>
  <c r="M27" i="5" s="1"/>
  <c r="L28" i="5"/>
  <c r="M28" i="5" s="1"/>
  <c r="L29" i="5"/>
  <c r="M29" i="5" s="1"/>
  <c r="L30" i="5"/>
  <c r="M30" i="5" s="1"/>
  <c r="L31" i="5"/>
  <c r="M31" i="5" s="1"/>
  <c r="L32" i="5"/>
  <c r="M32" i="5" s="1"/>
  <c r="L33" i="5"/>
  <c r="M33" i="5" s="1"/>
  <c r="L34" i="5"/>
  <c r="M34" i="5" s="1"/>
  <c r="L35" i="5"/>
  <c r="M35" i="5" s="1"/>
  <c r="L19" i="5"/>
  <c r="M19" i="5" s="1"/>
  <c r="L20" i="5"/>
  <c r="M20" i="5" s="1"/>
  <c r="B21" i="11"/>
  <c r="B22" i="11"/>
  <c r="B23" i="11"/>
  <c r="B24" i="11"/>
  <c r="B25" i="11"/>
  <c r="B20" i="11"/>
  <c r="C11" i="22"/>
  <c r="D11" i="22" s="1"/>
  <c r="C21" i="22"/>
  <c r="D21" i="22" s="1"/>
  <c r="D14" i="22"/>
  <c r="C7" i="22"/>
  <c r="C6" i="22"/>
  <c r="C21" i="21"/>
  <c r="D21" i="21" s="1"/>
  <c r="D14" i="21"/>
  <c r="C11" i="21"/>
  <c r="D11" i="21" s="1"/>
  <c r="C7" i="21"/>
  <c r="C6" i="21"/>
  <c r="D16" i="20"/>
  <c r="D14" i="20"/>
  <c r="C11" i="20"/>
  <c r="D11" i="20" s="1"/>
  <c r="C7" i="20"/>
  <c r="C6" i="20"/>
  <c r="C21" i="19"/>
  <c r="C7" i="19"/>
  <c r="C6" i="19"/>
  <c r="E24" i="5" l="1"/>
  <c r="C8" i="20"/>
  <c r="D11" i="5" s="1"/>
  <c r="C8" i="22"/>
  <c r="C8" i="21"/>
  <c r="C8" i="19"/>
  <c r="E35" i="5"/>
  <c r="E34" i="5"/>
  <c r="E33" i="5"/>
  <c r="E32" i="5"/>
  <c r="E28" i="5"/>
  <c r="E27" i="5"/>
  <c r="E26" i="5"/>
  <c r="E25" i="5"/>
  <c r="E22" i="5"/>
  <c r="E21" i="5"/>
  <c r="E20" i="5"/>
  <c r="D16" i="16"/>
  <c r="C7" i="16"/>
  <c r="C6" i="14"/>
  <c r="C7" i="14"/>
  <c r="C6" i="13"/>
  <c r="C7" i="13"/>
  <c r="C7" i="12"/>
  <c r="D14" i="10"/>
  <c r="D14" i="12"/>
  <c r="C7" i="10"/>
  <c r="C6" i="16"/>
  <c r="C8" i="16" l="1"/>
  <c r="C8" i="13"/>
  <c r="E31" i="5"/>
  <c r="F31" i="5" s="1"/>
  <c r="F21" i="5"/>
  <c r="E29" i="5"/>
  <c r="F29" i="5" s="1"/>
  <c r="E30" i="5"/>
  <c r="F30" i="5" s="1"/>
  <c r="F20" i="5"/>
  <c r="F33" i="5"/>
  <c r="F22" i="5"/>
  <c r="F34" i="5"/>
  <c r="F32" i="5"/>
  <c r="F27" i="5"/>
  <c r="F35" i="5"/>
  <c r="F25" i="5"/>
  <c r="F24" i="5"/>
  <c r="F28" i="5"/>
  <c r="F26" i="5"/>
  <c r="C8" i="14"/>
  <c r="C7" i="18"/>
  <c r="C6" i="18"/>
  <c r="C8" i="18" s="1"/>
  <c r="C21" i="18"/>
  <c r="D21" i="18" s="1"/>
  <c r="C11" i="16"/>
  <c r="D11" i="16" s="1"/>
  <c r="E19" i="5" s="1"/>
  <c r="C11" i="17"/>
  <c r="D11" i="17" s="1"/>
  <c r="C6" i="17"/>
  <c r="C8" i="17" s="1"/>
  <c r="C21" i="17"/>
  <c r="D21" i="17" s="1"/>
  <c r="D14" i="17"/>
  <c r="C21" i="16"/>
  <c r="D21" i="16" s="1"/>
  <c r="D14" i="16"/>
  <c r="C6" i="15"/>
  <c r="C8" i="15" s="1"/>
  <c r="C21" i="15"/>
  <c r="D21" i="15" s="1"/>
  <c r="D14" i="15"/>
  <c r="C11" i="15"/>
  <c r="D11" i="15" s="1"/>
  <c r="F19" i="5" l="1"/>
  <c r="C21" i="12"/>
  <c r="D21" i="12" s="1"/>
  <c r="C21" i="10"/>
  <c r="D21" i="10" s="1"/>
  <c r="C21" i="14"/>
  <c r="D21" i="14" s="1"/>
  <c r="C11" i="12"/>
  <c r="D11" i="12" s="1"/>
  <c r="C11" i="10"/>
  <c r="D11" i="10" s="1"/>
  <c r="C6" i="12"/>
  <c r="C8" i="12" s="1"/>
  <c r="C6" i="10"/>
  <c r="C8" i="10" s="1"/>
  <c r="L23" i="5" l="1"/>
  <c r="E23" i="5"/>
  <c r="G49" i="5"/>
  <c r="G50" i="5"/>
  <c r="G51" i="5"/>
  <c r="G57" i="5"/>
  <c r="G45" i="5"/>
  <c r="G46" i="5"/>
  <c r="G47" i="5"/>
  <c r="G48" i="5"/>
  <c r="G52" i="5"/>
  <c r="G42" i="5"/>
  <c r="G43" i="5"/>
  <c r="G44" i="5"/>
  <c r="G53" i="5"/>
  <c r="G54" i="5"/>
  <c r="G55" i="5"/>
  <c r="G56" i="5"/>
  <c r="M23" i="5" l="1"/>
  <c r="M36" i="5" s="1"/>
  <c r="L36" i="5"/>
  <c r="F23" i="5"/>
  <c r="F36" i="5" s="1"/>
  <c r="E36" i="5"/>
  <c r="G58" i="5"/>
  <c r="D5" i="8"/>
  <c r="E5" i="8"/>
  <c r="F5" i="8" l="1"/>
  <c r="C5" i="9"/>
</calcChain>
</file>

<file path=xl/sharedStrings.xml><?xml version="1.0" encoding="utf-8"?>
<sst xmlns="http://schemas.openxmlformats.org/spreadsheetml/2006/main" count="1218" uniqueCount="261">
  <si>
    <t>Input Required</t>
  </si>
  <si>
    <t>No Input Required</t>
  </si>
  <si>
    <r>
      <t>Volume (m</t>
    </r>
    <r>
      <rPr>
        <b/>
        <vertAlign val="superscript"/>
        <sz val="11"/>
        <color theme="1"/>
        <rFont val="Calibri"/>
        <family val="2"/>
        <scheme val="minor"/>
      </rPr>
      <t>3</t>
    </r>
    <r>
      <rPr>
        <b/>
        <sz val="11"/>
        <color theme="1"/>
        <rFont val="Calibri"/>
        <family val="2"/>
        <scheme val="minor"/>
      </rPr>
      <t>)</t>
    </r>
  </si>
  <si>
    <t>Source Information</t>
  </si>
  <si>
    <t>Carbon Dioxide</t>
  </si>
  <si>
    <t>Methane</t>
  </si>
  <si>
    <t>Nitrous Oxide</t>
  </si>
  <si>
    <t>Name</t>
  </si>
  <si>
    <t>Chemical Formula</t>
  </si>
  <si>
    <t>Possible Source of Emission</t>
  </si>
  <si>
    <t>Fossil fuel combustion</t>
  </si>
  <si>
    <t>Decomposition biodegradable material</t>
  </si>
  <si>
    <t>Soil management, agricultural residue burning, sewage</t>
  </si>
  <si>
    <r>
      <t>CO</t>
    </r>
    <r>
      <rPr>
        <vertAlign val="subscript"/>
        <sz val="11"/>
        <color theme="1"/>
        <rFont val="Calibri"/>
        <family val="2"/>
        <scheme val="minor"/>
      </rPr>
      <t>2</t>
    </r>
  </si>
  <si>
    <r>
      <t>CH</t>
    </r>
    <r>
      <rPr>
        <vertAlign val="subscript"/>
        <sz val="11"/>
        <color theme="1"/>
        <rFont val="Calibri"/>
        <family val="2"/>
        <scheme val="minor"/>
      </rPr>
      <t>4</t>
    </r>
  </si>
  <si>
    <r>
      <t>N</t>
    </r>
    <r>
      <rPr>
        <vertAlign val="subscript"/>
        <sz val="11"/>
        <color theme="1"/>
        <rFont val="Calibri"/>
        <family val="2"/>
        <scheme val="minor"/>
      </rPr>
      <t>2</t>
    </r>
    <r>
      <rPr>
        <sz val="11"/>
        <color theme="1"/>
        <rFont val="Calibri"/>
        <family val="2"/>
        <scheme val="minor"/>
      </rPr>
      <t>O</t>
    </r>
  </si>
  <si>
    <t>Aggregates</t>
  </si>
  <si>
    <t>Cement</t>
  </si>
  <si>
    <t>Transport Type</t>
  </si>
  <si>
    <t>Truck</t>
  </si>
  <si>
    <t>Car</t>
  </si>
  <si>
    <r>
      <t>kgCO</t>
    </r>
    <r>
      <rPr>
        <b/>
        <vertAlign val="subscript"/>
        <sz val="11"/>
        <color theme="1"/>
        <rFont val="Calibri"/>
        <family val="2"/>
        <scheme val="minor"/>
      </rPr>
      <t>2</t>
    </r>
    <r>
      <rPr>
        <b/>
        <sz val="11"/>
        <color theme="1"/>
        <rFont val="Calibri"/>
        <family val="2"/>
        <scheme val="minor"/>
      </rPr>
      <t>e/km</t>
    </r>
  </si>
  <si>
    <t>Donkey</t>
  </si>
  <si>
    <t>Helicopter</t>
  </si>
  <si>
    <t>Steel</t>
  </si>
  <si>
    <t>100 year GWP</t>
  </si>
  <si>
    <t>Contact Information</t>
  </si>
  <si>
    <t>Studied Products</t>
  </si>
  <si>
    <t>Date</t>
  </si>
  <si>
    <t xml:space="preserve">Nina Riehle </t>
  </si>
  <si>
    <t>nina.riehle@gmail.com</t>
  </si>
  <si>
    <t>Common building materials used for the reconstruction of housing in Nepal.</t>
  </si>
  <si>
    <t>Unit of the Analysis</t>
  </si>
  <si>
    <r>
      <t>kgCO</t>
    </r>
    <r>
      <rPr>
        <vertAlign val="subscript"/>
        <sz val="11"/>
        <color theme="1"/>
        <rFont val="Calibri"/>
        <family val="2"/>
        <scheme val="minor"/>
      </rPr>
      <t>2</t>
    </r>
    <r>
      <rPr>
        <sz val="11"/>
        <color theme="1"/>
        <rFont val="Calibri"/>
        <family val="2"/>
        <scheme val="minor"/>
      </rPr>
      <t xml:space="preserve"> equivalent (kgCO</t>
    </r>
    <r>
      <rPr>
        <vertAlign val="subscript"/>
        <sz val="11"/>
        <color theme="1"/>
        <rFont val="Calibri"/>
        <family val="2"/>
        <scheme val="minor"/>
      </rPr>
      <t>2</t>
    </r>
    <r>
      <rPr>
        <sz val="11"/>
        <color theme="1"/>
        <rFont val="Calibri"/>
        <family val="2"/>
        <scheme val="minor"/>
      </rPr>
      <t xml:space="preserve"> e)</t>
    </r>
  </si>
  <si>
    <t>Reference Flow</t>
  </si>
  <si>
    <t>Type of Inventory</t>
  </si>
  <si>
    <t>Cradle-to-Gate</t>
  </si>
  <si>
    <t>Purpose</t>
  </si>
  <si>
    <t>The GHG reporting shall be used to compare building materials and subsequently advise NGOs and suppliers on environmentally friendly building materials.</t>
  </si>
  <si>
    <t>Limitations</t>
  </si>
  <si>
    <t>1. General Information</t>
  </si>
  <si>
    <t>2. Boundary Setting</t>
  </si>
  <si>
    <t>Description</t>
  </si>
  <si>
    <t>Source Date</t>
  </si>
  <si>
    <t>Source</t>
  </si>
  <si>
    <t>Organization</t>
  </si>
  <si>
    <t>HRRP</t>
  </si>
  <si>
    <t>+971 52 130 2804</t>
  </si>
  <si>
    <t>Material Type</t>
  </si>
  <si>
    <r>
      <t>kgCO</t>
    </r>
    <r>
      <rPr>
        <b/>
        <vertAlign val="subscript"/>
        <sz val="11"/>
        <color theme="1"/>
        <rFont val="Calibri"/>
        <family val="2"/>
        <scheme val="minor"/>
      </rPr>
      <t>2</t>
    </r>
    <r>
      <rPr>
        <b/>
        <sz val="11"/>
        <color theme="1"/>
        <rFont val="Calibri"/>
        <family val="2"/>
        <scheme val="minor"/>
      </rPr>
      <t>e/kg</t>
    </r>
  </si>
  <si>
    <t>Sand</t>
  </si>
  <si>
    <t>Stone</t>
  </si>
  <si>
    <t>Timber</t>
  </si>
  <si>
    <t>http://www.ghgprotocol.org/sites/default/files/ghgp/Global-Warming-Potential-Values%20%28Feb%2016%202016%29_1.pdf</t>
  </si>
  <si>
    <t>Tank Size (Liter)</t>
  </si>
  <si>
    <t>Max Range (km)</t>
  </si>
  <si>
    <t>Fuel consumption (Liter/km)</t>
  </si>
  <si>
    <t>http://airbushelicoptersinc.com/products/H135-specifications.asp
https://www.epa.gov/sites/production/files/2015-07/documents/emission-factors_2014.pdf</t>
  </si>
  <si>
    <t>The boundary of this study is cradle-to-gate and thus does not take into account the building use and end-of-life GHG emissions. A separate study would be required to assess and compare the building materials carbon footprint for the whole life-cycle (cradle-to-grave scope).</t>
  </si>
  <si>
    <r>
      <t>CO</t>
    </r>
    <r>
      <rPr>
        <b/>
        <vertAlign val="subscript"/>
        <sz val="11"/>
        <color theme="1"/>
        <rFont val="Calibri"/>
        <family val="2"/>
        <scheme val="minor"/>
      </rPr>
      <t>2</t>
    </r>
    <r>
      <rPr>
        <b/>
        <sz val="11"/>
        <color theme="1"/>
        <rFont val="Calibri"/>
        <family val="2"/>
        <scheme val="minor"/>
      </rPr>
      <t>e/liter</t>
    </r>
  </si>
  <si>
    <r>
      <t>CO</t>
    </r>
    <r>
      <rPr>
        <b/>
        <vertAlign val="subscript"/>
        <sz val="11"/>
        <color theme="1"/>
        <rFont val="Calibri"/>
        <family val="2"/>
        <scheme val="minor"/>
      </rPr>
      <t>2</t>
    </r>
    <r>
      <rPr>
        <b/>
        <sz val="11"/>
        <color theme="1"/>
        <rFont val="Calibri"/>
        <family val="2"/>
        <scheme val="minor"/>
      </rPr>
      <t>e/km</t>
    </r>
  </si>
  <si>
    <t>1. Helicopter</t>
  </si>
  <si>
    <t>2. Truck</t>
  </si>
  <si>
    <t>3. Car</t>
  </si>
  <si>
    <t>4. Summary</t>
  </si>
  <si>
    <t>1. Key</t>
  </si>
  <si>
    <t>Material Types</t>
  </si>
  <si>
    <t>Roof</t>
  </si>
  <si>
    <r>
      <t>GHG Emissions (kgCO</t>
    </r>
    <r>
      <rPr>
        <b/>
        <vertAlign val="subscript"/>
        <sz val="11"/>
        <color theme="1"/>
        <rFont val="Calibri"/>
        <family val="2"/>
        <scheme val="minor"/>
      </rPr>
      <t>2</t>
    </r>
    <r>
      <rPr>
        <b/>
        <sz val="11"/>
        <color theme="1"/>
        <rFont val="Calibri"/>
        <family val="2"/>
        <scheme val="minor"/>
      </rPr>
      <t>e)</t>
    </r>
  </si>
  <si>
    <t>Thatched Roof</t>
  </si>
  <si>
    <t>CGI</t>
  </si>
  <si>
    <t>Materials</t>
  </si>
  <si>
    <t>Floors</t>
  </si>
  <si>
    <r>
      <t>GFA (m</t>
    </r>
    <r>
      <rPr>
        <vertAlign val="superscript"/>
        <sz val="11"/>
        <color theme="1"/>
        <rFont val="Calibri"/>
        <family val="2"/>
        <scheme val="minor"/>
      </rPr>
      <t>2</t>
    </r>
    <r>
      <rPr>
        <sz val="11"/>
        <color theme="1"/>
        <rFont val="Calibri"/>
        <family val="2"/>
        <scheme val="minor"/>
      </rPr>
      <t>)</t>
    </r>
  </si>
  <si>
    <t>Brick</t>
  </si>
  <si>
    <t>Nos</t>
  </si>
  <si>
    <t>Weight (kg)</t>
  </si>
  <si>
    <t>Bund</t>
  </si>
  <si>
    <r>
      <t>kg/m</t>
    </r>
    <r>
      <rPr>
        <vertAlign val="superscript"/>
        <sz val="11"/>
        <color theme="1"/>
        <rFont val="Calibri"/>
        <family val="2"/>
        <scheme val="minor"/>
      </rPr>
      <t>3</t>
    </r>
  </si>
  <si>
    <t>Bags (50kg per bag)</t>
  </si>
  <si>
    <t>Bundle</t>
  </si>
  <si>
    <t>Assumptions</t>
  </si>
  <si>
    <t>CSEB</t>
  </si>
  <si>
    <r>
      <t>kgCO</t>
    </r>
    <r>
      <rPr>
        <b/>
        <vertAlign val="subscript"/>
        <sz val="11"/>
        <color theme="1"/>
        <rFont val="Calibri"/>
        <family val="2"/>
        <scheme val="minor"/>
      </rPr>
      <t>2</t>
    </r>
    <r>
      <rPr>
        <b/>
        <sz val="11"/>
        <color theme="1"/>
        <rFont val="Calibri"/>
        <family val="2"/>
        <scheme val="minor"/>
      </rPr>
      <t>e/m</t>
    </r>
    <r>
      <rPr>
        <b/>
        <vertAlign val="superscript"/>
        <sz val="11"/>
        <color theme="1"/>
        <rFont val="Calibri"/>
        <family val="2"/>
        <scheme val="minor"/>
      </rPr>
      <t>3</t>
    </r>
  </si>
  <si>
    <t>http://www.earth-auroville.com/compressed_stabilised_earth_block_en.php</t>
  </si>
  <si>
    <t>Country Fired Brick</t>
  </si>
  <si>
    <t>MinErgy</t>
  </si>
  <si>
    <t>Building Type</t>
  </si>
  <si>
    <t>Brick Type</t>
  </si>
  <si>
    <t>Weight Bundle CGI</t>
  </si>
  <si>
    <t xml:space="preserve">kg  </t>
  </si>
  <si>
    <t>https://www.sheltercluster.org/sites/default/files/docs/cgi_specification_150708.pdf</t>
  </si>
  <si>
    <t>Mud</t>
  </si>
  <si>
    <t>Slate</t>
  </si>
  <si>
    <r>
      <t>Area (m</t>
    </r>
    <r>
      <rPr>
        <b/>
        <vertAlign val="superscript"/>
        <sz val="11"/>
        <color theme="1"/>
        <rFont val="Calibri"/>
        <family val="2"/>
        <scheme val="minor"/>
      </rPr>
      <t>2</t>
    </r>
    <r>
      <rPr>
        <b/>
        <sz val="11"/>
        <color theme="1"/>
        <rFont val="Calibri"/>
        <family val="2"/>
        <scheme val="minor"/>
      </rPr>
      <t>)</t>
    </r>
  </si>
  <si>
    <t>GI</t>
  </si>
  <si>
    <t>RM</t>
  </si>
  <si>
    <t>Clay Tiles</t>
  </si>
  <si>
    <t>Wooden Roof</t>
  </si>
  <si>
    <t>RCC</t>
  </si>
  <si>
    <t>No.</t>
  </si>
  <si>
    <t>Polythene Sheet</t>
  </si>
  <si>
    <t>m2</t>
  </si>
  <si>
    <t>MS Black Pipe</t>
  </si>
  <si>
    <t>Bamboo</t>
  </si>
  <si>
    <r>
      <t>GFA (m</t>
    </r>
    <r>
      <rPr>
        <vertAlign val="superscript"/>
        <sz val="11"/>
        <color theme="1"/>
        <rFont val="Calibri"/>
        <family val="2"/>
        <scheme val="minor"/>
      </rPr>
      <t>2</t>
    </r>
    <r>
      <rPr>
        <sz val="11"/>
        <color theme="1"/>
        <rFont val="Calibri"/>
        <family val="2"/>
        <scheme val="minor"/>
      </rPr>
      <t>) House</t>
    </r>
  </si>
  <si>
    <r>
      <t>GFA (m</t>
    </r>
    <r>
      <rPr>
        <vertAlign val="superscript"/>
        <sz val="11"/>
        <color theme="1"/>
        <rFont val="Calibri"/>
        <family val="2"/>
        <scheme val="minor"/>
      </rPr>
      <t>2</t>
    </r>
    <r>
      <rPr>
        <sz val="11"/>
        <color theme="1"/>
        <rFont val="Calibri"/>
        <family val="2"/>
        <scheme val="minor"/>
      </rPr>
      <t>) Veranda</t>
    </r>
  </si>
  <si>
    <r>
      <t>Total GFA (m</t>
    </r>
    <r>
      <rPr>
        <vertAlign val="superscript"/>
        <sz val="11"/>
        <color theme="1"/>
        <rFont val="Calibri"/>
        <family val="2"/>
        <scheme val="minor"/>
      </rPr>
      <t>2</t>
    </r>
    <r>
      <rPr>
        <sz val="11"/>
        <color theme="1"/>
        <rFont val="Calibri"/>
        <family val="2"/>
        <scheme val="minor"/>
      </rPr>
      <t>)</t>
    </r>
  </si>
  <si>
    <r>
      <t>Total kgCO</t>
    </r>
    <r>
      <rPr>
        <b/>
        <vertAlign val="subscript"/>
        <sz val="11"/>
        <color theme="1"/>
        <rFont val="Calibri"/>
        <family val="2"/>
        <scheme val="minor"/>
      </rPr>
      <t>2</t>
    </r>
    <r>
      <rPr>
        <b/>
        <sz val="11"/>
        <color theme="1"/>
        <rFont val="Calibri"/>
        <family val="2"/>
        <scheme val="minor"/>
      </rPr>
      <t>e</t>
    </r>
  </si>
  <si>
    <r>
      <t>Total GFA (m</t>
    </r>
    <r>
      <rPr>
        <b/>
        <vertAlign val="superscript"/>
        <sz val="11"/>
        <color theme="1"/>
        <rFont val="Calibri"/>
        <family val="2"/>
        <scheme val="minor"/>
      </rPr>
      <t>2</t>
    </r>
    <r>
      <rPr>
        <b/>
        <sz val="11"/>
        <color theme="1"/>
        <rFont val="Calibri"/>
        <family val="2"/>
        <scheme val="minor"/>
      </rPr>
      <t>)</t>
    </r>
  </si>
  <si>
    <r>
      <t>GFA (m</t>
    </r>
    <r>
      <rPr>
        <b/>
        <vertAlign val="superscript"/>
        <sz val="11"/>
        <color theme="1"/>
        <rFont val="Calibri"/>
        <family val="2"/>
        <scheme val="minor"/>
      </rPr>
      <t>2</t>
    </r>
    <r>
      <rPr>
        <b/>
        <sz val="11"/>
        <color theme="1"/>
        <rFont val="Calibri"/>
        <family val="2"/>
        <scheme val="minor"/>
      </rPr>
      <t>)</t>
    </r>
  </si>
  <si>
    <r>
      <t>Veranda (m</t>
    </r>
    <r>
      <rPr>
        <vertAlign val="superscript"/>
        <sz val="11"/>
        <color theme="1"/>
        <rFont val="Calibri"/>
        <family val="2"/>
        <scheme val="minor"/>
      </rPr>
      <t>2</t>
    </r>
    <r>
      <rPr>
        <sz val="11"/>
        <color theme="1"/>
        <rFont val="Calibri"/>
        <family val="2"/>
        <scheme val="minor"/>
      </rPr>
      <t>)</t>
    </r>
  </si>
  <si>
    <t>Rm</t>
  </si>
  <si>
    <t>Density CSEB</t>
  </si>
  <si>
    <t>Correct?</t>
  </si>
  <si>
    <t>Density Mildly Steel</t>
  </si>
  <si>
    <t>mm</t>
  </si>
  <si>
    <t>Diameter Bamboo</t>
  </si>
  <si>
    <t>Length Bamboo</t>
  </si>
  <si>
    <t>Material</t>
  </si>
  <si>
    <t>Earth Bag</t>
  </si>
  <si>
    <t>Hollow Concrete block</t>
  </si>
  <si>
    <t xml:space="preserve">Total Emissions </t>
  </si>
  <si>
    <r>
      <t>Total kgCO</t>
    </r>
    <r>
      <rPr>
        <b/>
        <vertAlign val="subscript"/>
        <sz val="11"/>
        <color theme="1"/>
        <rFont val="Calibri"/>
        <family val="2"/>
        <scheme val="minor"/>
      </rPr>
      <t>2</t>
    </r>
    <r>
      <rPr>
        <b/>
        <sz val="11"/>
        <color theme="1"/>
        <rFont val="Calibri"/>
        <family val="2"/>
        <scheme val="minor"/>
      </rPr>
      <t>e/m</t>
    </r>
    <r>
      <rPr>
        <b/>
        <vertAlign val="superscript"/>
        <sz val="11"/>
        <color theme="1"/>
        <rFont val="Calibri"/>
        <family val="2"/>
        <scheme val="minor"/>
      </rPr>
      <t>2</t>
    </r>
  </si>
  <si>
    <t>Dimensions</t>
  </si>
  <si>
    <r>
      <t>m</t>
    </r>
    <r>
      <rPr>
        <b/>
        <vertAlign val="superscript"/>
        <sz val="11"/>
        <color theme="1"/>
        <rFont val="Calibri"/>
        <family val="2"/>
        <scheme val="minor"/>
      </rPr>
      <t>2</t>
    </r>
  </si>
  <si>
    <t>MS Black Pipe / Angle &amp; Plates</t>
  </si>
  <si>
    <t>Timber 2F</t>
  </si>
  <si>
    <t>Bamboo Stone Hybrid 1F</t>
  </si>
  <si>
    <t>Earth Bag 1F</t>
  </si>
  <si>
    <t>CSEB 1F</t>
  </si>
  <si>
    <t>CSEB 2F</t>
  </si>
  <si>
    <t>Hollow Concrete Block 2F</t>
  </si>
  <si>
    <r>
      <t>GFA House (m</t>
    </r>
    <r>
      <rPr>
        <vertAlign val="superscript"/>
        <sz val="11"/>
        <color theme="1"/>
        <rFont val="Calibri"/>
        <family val="2"/>
        <scheme val="minor"/>
      </rPr>
      <t>2</t>
    </r>
    <r>
      <rPr>
        <sz val="11"/>
        <color theme="1"/>
        <rFont val="Calibri"/>
        <family val="2"/>
        <scheme val="minor"/>
      </rPr>
      <t>)</t>
    </r>
  </si>
  <si>
    <t>Stone Masonry Cement Mortar 1F</t>
  </si>
  <si>
    <t>Stone Masonry Cement Mortar 2F</t>
  </si>
  <si>
    <t>Stone Masonry Mud Mortar 1F</t>
  </si>
  <si>
    <t>Brick Masonry Cement Mortar 1F</t>
  </si>
  <si>
    <t>Brick Masonry Cement Mortar 2F</t>
  </si>
  <si>
    <t>Brick Masonry Mud Mortar 1F</t>
  </si>
  <si>
    <t>Building Type 1 Floor</t>
  </si>
  <si>
    <t>Building Type 2 Floors</t>
  </si>
  <si>
    <t>1 Floor</t>
  </si>
  <si>
    <t>Building Types Chosen</t>
  </si>
  <si>
    <t>Timber Structure 2F</t>
  </si>
  <si>
    <t>Bamboo Stone Hybrid 2F</t>
  </si>
  <si>
    <t>Mild Steel</t>
  </si>
  <si>
    <t>Sundried</t>
  </si>
  <si>
    <t>Number of Floors</t>
  </si>
  <si>
    <t>Hollow Concrete Block</t>
  </si>
  <si>
    <t>Choose Numbers of Floors</t>
  </si>
  <si>
    <t>Choose the Building Type</t>
  </si>
  <si>
    <t>*Applicable for brick buildings and timber structure</t>
  </si>
  <si>
    <t>2a) Selection of Building Type as per Nepal Building Typology Vol 1 &amp; 2</t>
  </si>
  <si>
    <t>2b) Provision of Individual Building Dimensions (Alternative to 2a)</t>
  </si>
  <si>
    <t>3a&amp;b) Choose Brick Type (if applicable)</t>
  </si>
  <si>
    <t>4a) Extraction &amp; Production Emissions</t>
  </si>
  <si>
    <t>4b) Extraction &amp; Production Emissions</t>
  </si>
  <si>
    <t>Choose the Brick Type*</t>
  </si>
  <si>
    <t>MCBTK</t>
  </si>
  <si>
    <t>Clamp Kiln</t>
  </si>
  <si>
    <t xml:space="preserve">FCBTK </t>
  </si>
  <si>
    <t>VSBK</t>
  </si>
  <si>
    <t>Indian Construction Material Database of Embodied Energy and Global Warming Potential Methodology Report, November 30, 2017</t>
  </si>
  <si>
    <t>Rammed Earth</t>
  </si>
  <si>
    <t>Clay Roof  Tile</t>
  </si>
  <si>
    <t>Lime Mortar</t>
  </si>
  <si>
    <t>Density Aggregates/Sand</t>
  </si>
  <si>
    <t>Density Bamboo</t>
  </si>
  <si>
    <t>Density Mud</t>
  </si>
  <si>
    <t>https://www.simetric.co.uk/si_materials.htm</t>
  </si>
  <si>
    <t>Stone (generic)</t>
  </si>
  <si>
    <t>Nepal Building Code Timber 112:1994</t>
  </si>
  <si>
    <t>Timber (hard timber average)</t>
  </si>
  <si>
    <t>Brick Size</t>
  </si>
  <si>
    <t>240x115x57</t>
  </si>
  <si>
    <t>Nepal Building Code NBC 109:1994</t>
  </si>
  <si>
    <t>Average diesel consumption truck: 0.15L/km</t>
  </si>
  <si>
    <r>
      <t>kgCO</t>
    </r>
    <r>
      <rPr>
        <vertAlign val="subscript"/>
        <sz val="11"/>
        <color theme="1"/>
        <rFont val="Calibri"/>
        <family val="2"/>
        <scheme val="minor"/>
      </rPr>
      <t>2</t>
    </r>
    <r>
      <rPr>
        <sz val="11"/>
        <color theme="1"/>
        <rFont val="Calibri"/>
        <family val="2"/>
        <scheme val="minor"/>
      </rPr>
      <t>e per liter diesel: 2.68</t>
    </r>
  </si>
  <si>
    <r>
      <t>Source: CO</t>
    </r>
    <r>
      <rPr>
        <vertAlign val="subscript"/>
        <sz val="11"/>
        <color theme="1"/>
        <rFont val="Calibri"/>
        <family val="2"/>
        <scheme val="minor"/>
      </rPr>
      <t>2</t>
    </r>
    <r>
      <rPr>
        <sz val="11"/>
        <color theme="1"/>
        <rFont val="Calibri"/>
        <family val="2"/>
        <scheme val="minor"/>
      </rPr>
      <t xml:space="preserve"> Comparison CSEB vs Fired Bricks in Nepal, Build Up Nepal </t>
    </r>
  </si>
  <si>
    <t>Slates</t>
  </si>
  <si>
    <r>
      <t>kgCO</t>
    </r>
    <r>
      <rPr>
        <b/>
        <vertAlign val="subscript"/>
        <sz val="11"/>
        <color theme="1"/>
        <rFont val="Calibri"/>
        <family val="2"/>
        <scheme val="minor"/>
      </rPr>
      <t>2</t>
    </r>
    <r>
      <rPr>
        <b/>
        <sz val="11"/>
        <color theme="1"/>
        <rFont val="Calibri"/>
        <family val="2"/>
        <scheme val="minor"/>
      </rPr>
      <t>e/kg material</t>
    </r>
  </si>
  <si>
    <t>Density Brick (average)</t>
  </si>
  <si>
    <t>Indian Standard Code of Practice for Design Loads for Buildings and Structures IS 875 (Part 1) 1987 (Reaffirmed 2008)</t>
  </si>
  <si>
    <t>HCB</t>
  </si>
  <si>
    <t>Nepal Design Catalogue for Reconstruction of Earthquake Resistant Houses Volume 2</t>
  </si>
  <si>
    <t>HCB Size</t>
  </si>
  <si>
    <t>40x15x20</t>
  </si>
  <si>
    <t>cm</t>
  </si>
  <si>
    <t>HCB Mix Ratio</t>
  </si>
  <si>
    <t>(C:S:A)</t>
  </si>
  <si>
    <t>Density of Reinforcing Bar</t>
  </si>
  <si>
    <t>Density of Cement</t>
  </si>
  <si>
    <t>1. Emissions per Building Material</t>
  </si>
  <si>
    <t xml:space="preserve"> Brick Types</t>
  </si>
  <si>
    <t>2. Density Assumptions</t>
  </si>
  <si>
    <t>1:1.5:3</t>
  </si>
  <si>
    <t xml:space="preserve">kg </t>
  </si>
  <si>
    <t xml:space="preserve">m </t>
  </si>
  <si>
    <t>Thickness Bamboo</t>
  </si>
  <si>
    <t>http://bambus.rwth-aachen.de/eng/reports/buildingmaterial/buildingmaterial.html</t>
  </si>
  <si>
    <t>Earthbag Density</t>
  </si>
  <si>
    <t xml:space="preserve">Earthbag Density </t>
  </si>
  <si>
    <t>http://www.earthbagbuilding.com/pdf/vadgama.pdf</t>
  </si>
  <si>
    <t>Study on Evaluating Energy Conservation Potential of Brick Production in the SAARC Countries, MinErgy Initiatives, Nepal</t>
  </si>
  <si>
    <t>FCBTK</t>
  </si>
  <si>
    <t>Medium density concrete block with ordinary Portland cement</t>
  </si>
  <si>
    <t>Comparison to Indian Emission Data</t>
  </si>
  <si>
    <t>Colour Coding</t>
  </si>
  <si>
    <t>Nepal Specific Emission Data</t>
  </si>
  <si>
    <t>Indian Emission Data</t>
  </si>
  <si>
    <t>Refer to the Brick Emission Table Below</t>
  </si>
  <si>
    <t>Manual press, average 5% cement stabilization, average compressive strenght of 5Pa, curing period of 4 weeks</t>
  </si>
  <si>
    <t>Wooden fired bricks in country kilns</t>
  </si>
  <si>
    <t>http://www.earth-auroville.com/earth_in_auroville_introduction_en.php</t>
  </si>
  <si>
    <t>6. Assumptions</t>
  </si>
  <si>
    <t>Total GHG Emissions (Transport)</t>
  </si>
  <si>
    <t>Total Greenhouse Gas Emissions (Production)</t>
  </si>
  <si>
    <r>
      <t>Indian Standard: 0.096 kgCO</t>
    </r>
    <r>
      <rPr>
        <vertAlign val="subscript"/>
        <sz val="11"/>
        <color theme="1"/>
        <rFont val="Calibri"/>
        <family val="2"/>
        <scheme val="minor"/>
      </rPr>
      <t>2</t>
    </r>
    <r>
      <rPr>
        <sz val="11"/>
        <color theme="1"/>
        <rFont val="Calibri"/>
        <family val="2"/>
        <scheme val="minor"/>
      </rPr>
      <t>e/kg with ordianary portland cement (OPC). This reduces to 0.073 kgCO</t>
    </r>
    <r>
      <rPr>
        <vertAlign val="subscript"/>
        <sz val="11"/>
        <color theme="1"/>
        <rFont val="Calibri"/>
        <family val="2"/>
        <scheme val="minor"/>
      </rPr>
      <t>2</t>
    </r>
    <r>
      <rPr>
        <sz val="11"/>
        <color theme="1"/>
        <rFont val="Calibri"/>
        <family val="2"/>
        <scheme val="minor"/>
      </rPr>
      <t>e/kg if portland cement slag is used and to  0.01 kgCO</t>
    </r>
    <r>
      <rPr>
        <vertAlign val="subscript"/>
        <sz val="11"/>
        <color theme="1"/>
        <rFont val="Calibri"/>
        <family val="2"/>
        <scheme val="minor"/>
      </rPr>
      <t>2</t>
    </r>
    <r>
      <rPr>
        <sz val="11"/>
        <color theme="1"/>
        <rFont val="Calibri"/>
        <family val="2"/>
        <scheme val="minor"/>
      </rPr>
      <t>e/kg if pulvurized fuel ash (PFA) is used. These values are based on a mechanized process fueled by 1.26kg/m</t>
    </r>
    <r>
      <rPr>
        <vertAlign val="superscript"/>
        <sz val="11"/>
        <color theme="1"/>
        <rFont val="Calibri"/>
        <family val="2"/>
        <scheme val="minor"/>
      </rPr>
      <t>3</t>
    </r>
    <r>
      <rPr>
        <sz val="11"/>
        <color theme="1"/>
        <rFont val="Calibri"/>
        <family val="2"/>
        <scheme val="minor"/>
      </rPr>
      <t xml:space="preserve"> diesel and 10% cement stabilization while the auroville values are based on a manual press with 5% cement stabilization.</t>
    </r>
  </si>
  <si>
    <t>The mud mortar consists of clay mixed with organic material and the materials are all extracted and mixed by manual labour</t>
  </si>
  <si>
    <r>
      <t>Indian Standard: -0.029kgCO</t>
    </r>
    <r>
      <rPr>
        <vertAlign val="subscript"/>
        <sz val="11"/>
        <color theme="1"/>
        <rFont val="Calibri"/>
        <family val="2"/>
        <scheme val="minor"/>
      </rPr>
      <t>2</t>
    </r>
    <r>
      <rPr>
        <sz val="11"/>
        <color theme="1"/>
        <rFont val="Calibri"/>
        <family val="2"/>
        <scheme val="minor"/>
      </rPr>
      <t>e/kg which is based on mechanical extraction and takes into account the electricity from a diesel generator to mix the mortar. Extraction and mixing in Nepal is generally done by manual labour and thus the emissions have been reduced accordingly.</t>
    </r>
  </si>
  <si>
    <t>Timber is airdried.</t>
  </si>
  <si>
    <t>CSEB are manually compressed with a 5% ordinary portland cement stabiliation.</t>
  </si>
  <si>
    <t>Stones are manually cut.</t>
  </si>
  <si>
    <t>The mud mortar consists of clay mixed with organic material and the materials are all extracted and mixed by manual labour.</t>
  </si>
  <si>
    <t>Crusher machine is used and the fuel, electricity and water consumption used for processing is taken into account.</t>
  </si>
  <si>
    <t>Crusher machine is used for aggregates and sand and the fuel, electricity and water consumption used for processing is taken into account.</t>
  </si>
  <si>
    <t>Ordinary Portland cement (OPC)</t>
  </si>
  <si>
    <t>Handcut stone (thus no emissions are generated by the production process)</t>
  </si>
  <si>
    <t>Plastic Bag: University of Bath, Inventory of Carbon &amp; Energy Version 1.6a</t>
  </si>
  <si>
    <r>
      <t>5% cement stabilization (as per the Indian Construction Material Database emissions for cement), emission for plastic (polypropylene) is 2.7kgCO</t>
    </r>
    <r>
      <rPr>
        <vertAlign val="subscript"/>
        <sz val="11"/>
        <color theme="1"/>
        <rFont val="Calibri"/>
        <family val="2"/>
        <scheme val="minor"/>
      </rPr>
      <t>2</t>
    </r>
    <r>
      <rPr>
        <sz val="11"/>
        <color theme="1"/>
        <rFont val="Calibri"/>
        <family val="2"/>
        <scheme val="minor"/>
      </rPr>
      <t xml:space="preserve">e (University of Bath), plastic bag is approximately 1% of total earth bag weight. </t>
    </r>
  </si>
  <si>
    <t>Air dried  timber</t>
  </si>
  <si>
    <t>Polythene Gauge</t>
  </si>
  <si>
    <t>Slate Thickness</t>
  </si>
  <si>
    <t>GI Thickness</t>
  </si>
  <si>
    <t>https://www.sheltercluster.org/sites/default/files/docs/technical_annex_cgi_v1_20150811.pdf</t>
  </si>
  <si>
    <t>Width GI</t>
  </si>
  <si>
    <t>Source: Carbon Dioxide Emissions by the Transportation Sector and Its Impacts on Health in the Kathmandu Valley</t>
  </si>
  <si>
    <r>
      <t>kgCO</t>
    </r>
    <r>
      <rPr>
        <vertAlign val="subscript"/>
        <sz val="11"/>
        <color theme="1"/>
        <rFont val="Calibri"/>
        <family val="2"/>
        <scheme val="minor"/>
      </rPr>
      <t>2</t>
    </r>
    <r>
      <rPr>
        <sz val="11"/>
        <color theme="1"/>
        <rFont val="Calibri"/>
        <family val="2"/>
        <scheme val="minor"/>
      </rPr>
      <t>e per liter gasoline: 2.33</t>
    </r>
  </si>
  <si>
    <t xml:space="preserve">equivalent to </t>
  </si>
  <si>
    <t>Average gasoline consumption: 13.5 km/L</t>
  </si>
  <si>
    <t>0.074L/km</t>
  </si>
  <si>
    <t>Source: Road Transportation Energy Demand and Environmental Emission: A Case of Kathmandu Valley</t>
  </si>
  <si>
    <t>Number of Trips</t>
  </si>
  <si>
    <t>Amount of Transported Material (kg)</t>
  </si>
  <si>
    <r>
      <t>Distance (one round trip) (km/m</t>
    </r>
    <r>
      <rPr>
        <b/>
        <vertAlign val="superscript"/>
        <sz val="11"/>
        <color theme="1"/>
        <rFont val="Calibri"/>
        <family val="2"/>
        <scheme val="minor"/>
      </rPr>
      <t>3</t>
    </r>
    <r>
      <rPr>
        <b/>
        <sz val="11"/>
        <color theme="1"/>
        <rFont val="Calibri"/>
        <family val="2"/>
        <scheme val="minor"/>
      </rPr>
      <t>)</t>
    </r>
  </si>
  <si>
    <t>4a) Transportation GHG Emissions</t>
  </si>
  <si>
    <t>4b) Transportation GHG Emissions</t>
  </si>
  <si>
    <t xml:space="preserve">Most of the housing reconstruction activities in Nepal are done by manual labour and thus the construction stage does not result in significant GHG emissions. Moreover, the houses in  remote and rural areas are generally not connected to the grid and subsequently the GHG emissions associated with the building use are negligible. Contrary to western countries, most of the GHG emissions for building materials in Nepal are generated during the extraction, production/manufacturing and transportation processes. Hence, this study aims to compare the carbon footprint of different building materials from cradle-to-gate. Cradle-to-gate includes the GHG emissions generated during the material aquisition &amp; pre-processing, production and transportation to the supplier site. The GHG emissions generated by the transport from the supplier site to the construction site are not reflected within the cradle-to-gate scope. The result of this study will be used to inform NGOs and suppliers on environmental friendly building products and shift the market towards those products. </t>
  </si>
  <si>
    <t>Building Greenhouse Gas Emissions</t>
  </si>
  <si>
    <t>General Information</t>
  </si>
  <si>
    <t>Material Greenhouse Gas Emission Data (No Input Required)</t>
  </si>
  <si>
    <t>Transportation Greenhouse Gas Emissions Data (No Input Required)</t>
  </si>
  <si>
    <t>700l/hour</t>
  </si>
  <si>
    <t>Sikorsky</t>
  </si>
  <si>
    <r>
      <t>MinErgy: 0.47 kgCO</t>
    </r>
    <r>
      <rPr>
        <vertAlign val="subscript"/>
        <sz val="11"/>
        <color theme="1"/>
        <rFont val="Calibri"/>
        <family val="2"/>
        <scheme val="minor"/>
      </rPr>
      <t>2</t>
    </r>
    <r>
      <rPr>
        <sz val="11"/>
        <color theme="1"/>
        <rFont val="Calibri"/>
        <family val="2"/>
        <scheme val="minor"/>
      </rPr>
      <t>e per brick, brick weight is 2.03kg</t>
    </r>
  </si>
  <si>
    <r>
      <t>MinErgy: 0.249 kgCO</t>
    </r>
    <r>
      <rPr>
        <vertAlign val="subscript"/>
        <sz val="11"/>
        <color theme="1"/>
        <rFont val="Calibri"/>
        <family val="2"/>
        <scheme val="minor"/>
      </rPr>
      <t>2</t>
    </r>
    <r>
      <rPr>
        <sz val="11"/>
        <color theme="1"/>
        <rFont val="Calibri"/>
        <family val="2"/>
        <scheme val="minor"/>
      </rPr>
      <t>e per brick, brick weight is 2.03kg</t>
    </r>
  </si>
  <si>
    <r>
      <t>MinErgy: 0.17 kgCO</t>
    </r>
    <r>
      <rPr>
        <vertAlign val="subscript"/>
        <sz val="11"/>
        <color theme="1"/>
        <rFont val="Calibri"/>
        <family val="2"/>
        <scheme val="minor"/>
      </rPr>
      <t>2</t>
    </r>
    <r>
      <rPr>
        <sz val="11"/>
        <color theme="1"/>
        <rFont val="Calibri"/>
        <family val="2"/>
        <scheme val="minor"/>
      </rPr>
      <t>e per brick, brick weight is 2.03kg</t>
    </r>
  </si>
  <si>
    <r>
      <t>MinErgy: 0.299 kgCO</t>
    </r>
    <r>
      <rPr>
        <vertAlign val="subscript"/>
        <sz val="11"/>
        <color theme="1"/>
        <rFont val="Calibri"/>
        <family val="2"/>
        <scheme val="minor"/>
      </rPr>
      <t>2</t>
    </r>
    <r>
      <rPr>
        <sz val="11"/>
        <color theme="1"/>
        <rFont val="Calibri"/>
        <family val="2"/>
        <scheme val="minor"/>
      </rPr>
      <t>e per brick, brick weight is 2.03kg</t>
    </r>
  </si>
  <si>
    <t xml:space="preserve">Study on Evaluating Energy Conservation Potential of Brick Production in the SAARC Countries from MinErgy Initiatives indicates a values of 0.299kgCO2e/brick (equivalent to 0.15kgCO2/kg with a brick weight of 2.03kg) but does not take into account the consumed water, generated waste and added minerals. Therefore, the emissions associated with water, waste and minerals were added from the Indian Construction Material Database. </t>
  </si>
  <si>
    <t xml:space="preserve">The emissions associated with water, waste and minerals were added to the MinErgy data from the Indian Construction Material Database.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</si>
</sst>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1" formatCode="_-* #,##0_-;\-* #,##0_-;_-* &quot;-&quot;_-;_-@_-"/>
    <numFmt numFmtId="43" formatCode="_-* #,##0.00_-;\-* #,##0.00_-;_-* &quot;-&quot;??_-;_-@_-"/>
    <numFmt numFmtId="164" formatCode="_(&quot;$&quot;* #,##0.00_);_(&quot;$&quot;* \(#,##0.00\);_(&quot;$&quot;* &quot;-&quot;??_);_(@_)"/>
    <numFmt numFmtId="165" formatCode="_(* #,##0.0_);_(* \(#,##0.0\);_(* &quot;-&quot;??_);_(@_)"/>
    <numFmt numFmtId="166" formatCode="#,##0_)"/>
    <numFmt numFmtId="167" formatCode="###0.00_)"/>
    <numFmt numFmtId="168" formatCode="0.0_W"/>
    <numFmt numFmtId="169" formatCode="#,##0.0000"/>
    <numFmt numFmtId="170" formatCode="0.000"/>
    <numFmt numFmtId="171" formatCode="0.0000"/>
  </numFmts>
  <fonts count="27" x14ac:knownFonts="1">
    <font>
      <sz val="11"/>
      <color theme="1"/>
      <name val="Calibri"/>
      <family val="2"/>
      <scheme val="minor"/>
    </font>
    <font>
      <b/>
      <sz val="11"/>
      <color theme="1"/>
      <name val="Calibri"/>
      <family val="2"/>
      <scheme val="minor"/>
    </font>
    <font>
      <b/>
      <vertAlign val="superscript"/>
      <sz val="11"/>
      <color theme="1"/>
      <name val="Calibri"/>
      <family val="2"/>
      <scheme val="minor"/>
    </font>
    <font>
      <b/>
      <vertAlign val="subscript"/>
      <sz val="11"/>
      <color theme="1"/>
      <name val="Calibri"/>
      <family val="2"/>
      <scheme val="minor"/>
    </font>
    <font>
      <vertAlign val="subscript"/>
      <sz val="11"/>
      <color theme="1"/>
      <name val="Calibri"/>
      <family val="2"/>
      <scheme val="minor"/>
    </font>
    <font>
      <u/>
      <sz val="11"/>
      <color theme="10"/>
      <name val="Calibri"/>
      <family val="2"/>
      <scheme val="minor"/>
    </font>
    <font>
      <sz val="11"/>
      <color rgb="FFFF0000"/>
      <name val="Calibri"/>
      <family val="2"/>
      <scheme val="minor"/>
    </font>
    <font>
      <sz val="10"/>
      <name val="Arial"/>
    </font>
    <font>
      <sz val="10"/>
      <name val="Arial"/>
      <family val="2"/>
    </font>
    <font>
      <sz val="9"/>
      <name val="Times New Roman"/>
      <family val="1"/>
    </font>
    <font>
      <b/>
      <sz val="9"/>
      <name val="Times New Roman"/>
      <family val="1"/>
    </font>
    <font>
      <sz val="12"/>
      <name val="Helv"/>
    </font>
    <font>
      <b/>
      <sz val="12"/>
      <name val="Helv"/>
    </font>
    <font>
      <sz val="9"/>
      <name val="Helv"/>
    </font>
    <font>
      <vertAlign val="superscript"/>
      <sz val="12"/>
      <name val="Helv"/>
    </font>
    <font>
      <sz val="10"/>
      <name val="Helv"/>
    </font>
    <font>
      <b/>
      <sz val="12"/>
      <name val="Times New Roman"/>
      <family val="1"/>
    </font>
    <font>
      <b/>
      <sz val="9"/>
      <name val="Helv"/>
    </font>
    <font>
      <sz val="8.5"/>
      <name val="Helv"/>
    </font>
    <font>
      <b/>
      <sz val="10"/>
      <name val="Helv"/>
    </font>
    <font>
      <sz val="1"/>
      <name val="Arial"/>
      <family val="2"/>
    </font>
    <font>
      <sz val="8"/>
      <name val="Helv"/>
      <family val="2"/>
    </font>
    <font>
      <b/>
      <sz val="14"/>
      <name val="Helv"/>
    </font>
    <font>
      <vertAlign val="superscript"/>
      <sz val="11"/>
      <color theme="1"/>
      <name val="Calibri"/>
      <family val="2"/>
      <scheme val="minor"/>
    </font>
    <font>
      <sz val="11"/>
      <name val="Calibri"/>
      <family val="2"/>
      <scheme val="minor"/>
    </font>
    <font>
      <b/>
      <sz val="12"/>
      <color theme="1"/>
      <name val="Calibri"/>
      <family val="2"/>
      <scheme val="minor"/>
    </font>
    <font>
      <b/>
      <sz val="14"/>
      <color theme="1"/>
      <name val="Calibri"/>
      <family val="2"/>
      <scheme val="minor"/>
    </font>
  </fonts>
  <fills count="15">
    <fill>
      <patternFill patternType="none"/>
    </fill>
    <fill>
      <patternFill patternType="gray125"/>
    </fill>
    <fill>
      <patternFill patternType="solid">
        <fgColor theme="0" tint="-0.14999847407452621"/>
        <bgColor indexed="64"/>
      </patternFill>
    </fill>
    <fill>
      <patternFill patternType="solid">
        <fgColor theme="9" tint="0.39997558519241921"/>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2"/>
        <bgColor indexed="9"/>
      </patternFill>
    </fill>
    <fill>
      <patternFill patternType="darkTrellis"/>
    </fill>
    <fill>
      <patternFill patternType="solid">
        <fgColor indexed="22"/>
        <bgColor indexed="55"/>
      </patternFill>
    </fill>
    <fill>
      <patternFill patternType="solid">
        <fgColor rgb="FFFFFF00"/>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indexed="64"/>
      </left>
      <right style="thin">
        <color indexed="64"/>
      </right>
      <top/>
      <bottom style="thin">
        <color indexed="64"/>
      </bottom>
      <diagonal/>
    </border>
    <border>
      <left/>
      <right/>
      <top/>
      <bottom style="thin">
        <color indexed="22"/>
      </bottom>
      <diagonal/>
    </border>
    <border>
      <left/>
      <right/>
      <top/>
      <bottom style="hair">
        <color indexed="64"/>
      </bottom>
      <diagonal/>
    </border>
    <border>
      <left/>
      <right/>
      <top/>
      <bottom style="thin">
        <color indexed="64"/>
      </bottom>
      <diagonal/>
    </border>
    <border>
      <left/>
      <right/>
      <top/>
      <bottom style="hair">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62">
    <xf numFmtId="0" fontId="0" fillId="0" borderId="0"/>
    <xf numFmtId="0" fontId="5" fillId="0" borderId="0" applyNumberFormat="0" applyFill="0" applyBorder="0" applyAlignment="0" applyProtection="0"/>
    <xf numFmtId="0" fontId="7" fillId="0" borderId="0"/>
    <xf numFmtId="49" fontId="9" fillId="0" borderId="1" applyNumberFormat="0" applyFont="0" applyFill="0" applyBorder="0" applyProtection="0">
      <alignment horizontal="left" vertical="center" indent="2"/>
    </xf>
    <xf numFmtId="49" fontId="9" fillId="0" borderId="2" applyNumberFormat="0" applyFont="0" applyFill="0" applyBorder="0" applyProtection="0">
      <alignment horizontal="left" vertical="center" indent="5"/>
    </xf>
    <xf numFmtId="4" fontId="10" fillId="0" borderId="4" applyFill="0" applyBorder="0" applyProtection="0">
      <alignment horizontal="right" vertical="center"/>
    </xf>
    <xf numFmtId="0" fontId="11" fillId="0" borderId="0">
      <alignment horizontal="center" vertical="center" wrapText="1"/>
    </xf>
    <xf numFmtId="3" fontId="8" fillId="0" borderId="0" applyFont="0" applyFill="0" applyBorder="0" applyAlignment="0" applyProtection="0"/>
    <xf numFmtId="0" fontId="12" fillId="0" borderId="0">
      <alignment horizontal="left" vertical="center" wrapText="1"/>
    </xf>
    <xf numFmtId="165" fontId="8" fillId="0" borderId="0" applyFont="0" applyFill="0" applyBorder="0" applyAlignment="0" applyProtection="0"/>
    <xf numFmtId="3" fontId="13" fillId="0" borderId="5" applyAlignment="0">
      <alignment horizontal="right" vertical="center"/>
    </xf>
    <xf numFmtId="166" fontId="13" fillId="0" borderId="5">
      <alignment horizontal="right" vertical="center"/>
    </xf>
    <xf numFmtId="49" fontId="14" fillId="0" borderId="5">
      <alignment horizontal="left" vertical="center"/>
    </xf>
    <xf numFmtId="167" fontId="15" fillId="0" borderId="5" applyNumberFormat="0" applyFill="0">
      <alignment horizontal="right"/>
    </xf>
    <xf numFmtId="168" fontId="15" fillId="0" borderId="5">
      <alignment horizontal="right"/>
    </xf>
    <xf numFmtId="0" fontId="8" fillId="0" borderId="0" applyFont="0" applyFill="0" applyBorder="0" applyAlignment="0" applyProtection="0"/>
    <xf numFmtId="2" fontId="8" fillId="0" borderId="0" applyFont="0" applyFill="0" applyBorder="0" applyAlignment="0" applyProtection="0"/>
    <xf numFmtId="0" fontId="16" fillId="0" borderId="0" applyNumberFormat="0" applyFill="0" applyBorder="0" applyAlignment="0" applyProtection="0"/>
    <xf numFmtId="0" fontId="17" fillId="0" borderId="5">
      <alignment horizontal="left"/>
    </xf>
    <xf numFmtId="0" fontId="17" fillId="0" borderId="6">
      <alignment horizontal="right" vertical="center"/>
    </xf>
    <xf numFmtId="0" fontId="18" fillId="0" borderId="5">
      <alignment horizontal="left" vertical="center"/>
    </xf>
    <xf numFmtId="0" fontId="15" fillId="0" borderId="5">
      <alignment horizontal="left" vertical="center"/>
    </xf>
    <xf numFmtId="0" fontId="19" fillId="0" borderId="5">
      <alignment horizontal="left"/>
    </xf>
    <xf numFmtId="0" fontId="19" fillId="8" borderId="0">
      <alignment horizontal="centerContinuous" wrapText="1"/>
    </xf>
    <xf numFmtId="49" fontId="19" fillId="8" borderId="7">
      <alignment horizontal="left" vertical="center"/>
    </xf>
    <xf numFmtId="0" fontId="19" fillId="8" borderId="0">
      <alignment horizontal="centerContinuous" vertical="center" wrapText="1"/>
    </xf>
    <xf numFmtId="41" fontId="20" fillId="0" borderId="0" applyFont="0" applyFill="0" applyBorder="0" applyAlignment="0" applyProtection="0"/>
    <xf numFmtId="43" fontId="20" fillId="0" borderId="0" applyFont="0" applyFill="0" applyBorder="0" applyAlignment="0" applyProtection="0"/>
    <xf numFmtId="9" fontId="20" fillId="0" borderId="0" applyFont="0" applyFill="0" applyBorder="0" applyAlignment="0" applyProtection="0"/>
    <xf numFmtId="164" fontId="20" fillId="0" borderId="0" applyFont="0" applyFill="0" applyBorder="0" applyAlignment="0" applyProtection="0"/>
    <xf numFmtId="0" fontId="8" fillId="0" borderId="0"/>
    <xf numFmtId="4" fontId="9" fillId="0" borderId="1" applyFill="0" applyBorder="0" applyProtection="0">
      <alignment horizontal="right" vertical="center"/>
    </xf>
    <xf numFmtId="49" fontId="10" fillId="0" borderId="1" applyNumberFormat="0" applyFill="0" applyBorder="0" applyProtection="0">
      <alignment horizontal="left" vertical="center"/>
    </xf>
    <xf numFmtId="0" fontId="9" fillId="0" borderId="1" applyNumberFormat="0" applyFill="0" applyAlignment="0" applyProtection="0"/>
    <xf numFmtId="0" fontId="21" fillId="7" borderId="0" applyNumberFormat="0" applyFont="0" applyBorder="0" applyAlignment="0" applyProtection="0"/>
    <xf numFmtId="169" fontId="9" fillId="9" borderId="1" applyNumberFormat="0" applyFont="0" applyBorder="0" applyAlignment="0" applyProtection="0">
      <alignment horizontal="right" vertical="center"/>
    </xf>
    <xf numFmtId="3" fontId="13" fillId="0" borderId="0">
      <alignment horizontal="left" vertical="center"/>
    </xf>
    <xf numFmtId="0" fontId="11" fillId="0" borderId="0">
      <alignment horizontal="left" vertical="center"/>
    </xf>
    <xf numFmtId="0" fontId="21" fillId="0" borderId="0">
      <alignment horizontal="right"/>
    </xf>
    <xf numFmtId="49" fontId="21" fillId="0" borderId="0">
      <alignment horizontal="center"/>
    </xf>
    <xf numFmtId="0" fontId="14" fillId="0" borderId="0">
      <alignment horizontal="right"/>
    </xf>
    <xf numFmtId="0" fontId="21" fillId="0" borderId="0">
      <alignment horizontal="left"/>
    </xf>
    <xf numFmtId="0" fontId="9" fillId="0" borderId="0"/>
    <xf numFmtId="49" fontId="13" fillId="0" borderId="0">
      <alignment horizontal="left" vertical="center"/>
    </xf>
    <xf numFmtId="49" fontId="14" fillId="0" borderId="5">
      <alignment horizontal="left" vertical="center"/>
    </xf>
    <xf numFmtId="49" fontId="11" fillId="0" borderId="5" applyFill="0">
      <alignment horizontal="left" vertical="center"/>
    </xf>
    <xf numFmtId="49" fontId="14" fillId="0" borderId="5">
      <alignment horizontal="left"/>
    </xf>
    <xf numFmtId="167" fontId="13" fillId="0" borderId="0" applyNumberFormat="0">
      <alignment horizontal="right"/>
    </xf>
    <xf numFmtId="0" fontId="17" fillId="10" borderId="0">
      <alignment horizontal="centerContinuous" vertical="center" wrapText="1"/>
    </xf>
    <xf numFmtId="0" fontId="17" fillId="0" borderId="8">
      <alignment horizontal="left" vertical="center"/>
    </xf>
    <xf numFmtId="0" fontId="22" fillId="0" borderId="0">
      <alignment horizontal="left" vertical="top"/>
    </xf>
    <xf numFmtId="0" fontId="19" fillId="0" borderId="0">
      <alignment horizontal="left"/>
    </xf>
    <xf numFmtId="0" fontId="12" fillId="0" borderId="0">
      <alignment horizontal="left"/>
    </xf>
    <xf numFmtId="0" fontId="15" fillId="0" borderId="0">
      <alignment horizontal="left"/>
    </xf>
    <xf numFmtId="0" fontId="22" fillId="0" borderId="0">
      <alignment horizontal="left" vertical="top"/>
    </xf>
    <xf numFmtId="0" fontId="12" fillId="0" borderId="0">
      <alignment horizontal="left"/>
    </xf>
    <xf numFmtId="0" fontId="15" fillId="0" borderId="0">
      <alignment horizontal="left"/>
    </xf>
    <xf numFmtId="49" fontId="13" fillId="0" borderId="5">
      <alignment horizontal="left"/>
    </xf>
    <xf numFmtId="0" fontId="17" fillId="0" borderId="6">
      <alignment horizontal="left"/>
    </xf>
    <xf numFmtId="0" fontId="19" fillId="0" borderId="0">
      <alignment horizontal="left" vertical="center"/>
    </xf>
    <xf numFmtId="49" fontId="21" fillId="0" borderId="5">
      <alignment horizontal="left"/>
    </xf>
    <xf numFmtId="0" fontId="9" fillId="0" borderId="0"/>
  </cellStyleXfs>
  <cellXfs count="151">
    <xf numFmtId="0" fontId="0" fillId="0" borderId="0" xfId="0"/>
    <xf numFmtId="0" fontId="0" fillId="2" borderId="0" xfId="0" applyFill="1"/>
    <xf numFmtId="0" fontId="0" fillId="0" borderId="1" xfId="0" applyBorder="1"/>
    <xf numFmtId="0" fontId="0" fillId="2" borderId="1" xfId="0" applyFill="1" applyBorder="1"/>
    <xf numFmtId="0" fontId="0" fillId="5" borderId="0" xfId="0" applyFill="1"/>
    <xf numFmtId="0" fontId="1" fillId="3" borderId="1" xfId="0" applyFont="1" applyFill="1" applyBorder="1" applyAlignment="1">
      <alignment horizontal="center" vertical="center" wrapText="1"/>
    </xf>
    <xf numFmtId="0" fontId="5" fillId="0" borderId="0" xfId="1"/>
    <xf numFmtId="0" fontId="1" fillId="6" borderId="1" xfId="0" applyFont="1" applyFill="1" applyBorder="1"/>
    <xf numFmtId="0" fontId="0" fillId="0" borderId="1" xfId="0" applyBorder="1" applyAlignment="1">
      <alignment horizontal="left"/>
    </xf>
    <xf numFmtId="0" fontId="1" fillId="6" borderId="1" xfId="0" applyFont="1" applyFill="1" applyBorder="1" applyAlignment="1">
      <alignment horizontal="left"/>
    </xf>
    <xf numFmtId="0" fontId="0" fillId="0" borderId="1" xfId="0" applyFill="1" applyBorder="1"/>
    <xf numFmtId="0" fontId="8" fillId="4" borderId="3" xfId="30" applyFont="1" applyFill="1" applyBorder="1"/>
    <xf numFmtId="0" fontId="0" fillId="0" borderId="0" xfId="0" applyAlignment="1">
      <alignment wrapText="1"/>
    </xf>
    <xf numFmtId="0" fontId="0" fillId="0" borderId="0" xfId="0" applyAlignment="1">
      <alignment vertical="center"/>
    </xf>
    <xf numFmtId="17" fontId="0" fillId="0" borderId="0" xfId="0" applyNumberFormat="1"/>
    <xf numFmtId="14" fontId="0" fillId="0" borderId="0" xfId="0" applyNumberFormat="1" applyAlignment="1">
      <alignment horizontal="left"/>
    </xf>
    <xf numFmtId="0" fontId="0" fillId="0" borderId="0" xfId="0" quotePrefix="1"/>
    <xf numFmtId="0" fontId="5" fillId="0" borderId="1" xfId="1" applyBorder="1" applyAlignment="1">
      <alignment wrapText="1"/>
    </xf>
    <xf numFmtId="0" fontId="1" fillId="6" borderId="1" xfId="0" applyFont="1" applyFill="1" applyBorder="1" applyAlignment="1">
      <alignment horizontal="center"/>
    </xf>
    <xf numFmtId="0" fontId="1" fillId="6" borderId="1" xfId="0" applyFont="1" applyFill="1" applyBorder="1" applyAlignment="1">
      <alignment horizontal="center" wrapText="1"/>
    </xf>
    <xf numFmtId="0" fontId="0" fillId="11" borderId="1" xfId="0" applyFill="1" applyBorder="1"/>
    <xf numFmtId="0" fontId="5" fillId="0" borderId="0" xfId="1" applyBorder="1" applyAlignment="1">
      <alignment wrapText="1"/>
    </xf>
    <xf numFmtId="0" fontId="0" fillId="4" borderId="1" xfId="0" applyFill="1" applyBorder="1"/>
    <xf numFmtId="2" fontId="0" fillId="4" borderId="1" xfId="0" applyNumberFormat="1" applyFill="1" applyBorder="1"/>
    <xf numFmtId="0" fontId="1" fillId="0" borderId="0" xfId="0" applyFont="1"/>
    <xf numFmtId="0" fontId="1" fillId="6" borderId="0" xfId="0" applyFont="1" applyFill="1"/>
    <xf numFmtId="0" fontId="1" fillId="0" borderId="0" xfId="0" applyFont="1" applyFill="1" applyBorder="1"/>
    <xf numFmtId="0" fontId="1" fillId="6" borderId="1" xfId="0" applyFont="1" applyFill="1" applyBorder="1" applyAlignment="1">
      <alignment wrapText="1"/>
    </xf>
    <xf numFmtId="0" fontId="1" fillId="3" borderId="1" xfId="0" applyFont="1" applyFill="1" applyBorder="1" applyAlignment="1">
      <alignment wrapText="1"/>
    </xf>
    <xf numFmtId="0" fontId="1" fillId="3" borderId="1" xfId="0" applyFont="1" applyFill="1" applyBorder="1"/>
    <xf numFmtId="0" fontId="1" fillId="6" borderId="1" xfId="0" applyFont="1" applyFill="1" applyBorder="1" applyAlignment="1">
      <alignment horizontal="center" wrapText="1"/>
    </xf>
    <xf numFmtId="2" fontId="0" fillId="0" borderId="0" xfId="0" applyNumberFormat="1"/>
    <xf numFmtId="1" fontId="0" fillId="0" borderId="0" xfId="0" applyNumberFormat="1"/>
    <xf numFmtId="2" fontId="0" fillId="0" borderId="1" xfId="0" applyNumberFormat="1" applyBorder="1"/>
    <xf numFmtId="1" fontId="0" fillId="0" borderId="1" xfId="0" applyNumberFormat="1" applyBorder="1"/>
    <xf numFmtId="3" fontId="0" fillId="0" borderId="0" xfId="0" applyNumberFormat="1"/>
    <xf numFmtId="3" fontId="0" fillId="0" borderId="1" xfId="0" applyNumberFormat="1" applyBorder="1"/>
    <xf numFmtId="0" fontId="0" fillId="0" borderId="0" xfId="0" applyFill="1" applyBorder="1"/>
    <xf numFmtId="3" fontId="0" fillId="4" borderId="0" xfId="0" applyNumberFormat="1" applyFill="1"/>
    <xf numFmtId="0" fontId="0" fillId="0" borderId="1" xfId="0" applyBorder="1" applyAlignment="1">
      <alignment horizontal="left"/>
    </xf>
    <xf numFmtId="0" fontId="1" fillId="6" borderId="1" xfId="0" applyFont="1" applyFill="1" applyBorder="1" applyAlignment="1">
      <alignment horizontal="center" wrapText="1"/>
    </xf>
    <xf numFmtId="2" fontId="1" fillId="0" borderId="0" xfId="0" applyNumberFormat="1" applyFont="1"/>
    <xf numFmtId="4" fontId="0" fillId="4" borderId="1" xfId="0" applyNumberFormat="1" applyFill="1" applyBorder="1"/>
    <xf numFmtId="0" fontId="6" fillId="0" borderId="0" xfId="0" applyFont="1"/>
    <xf numFmtId="0" fontId="1" fillId="0" borderId="0" xfId="0" applyFont="1" applyFill="1" applyBorder="1" applyAlignment="1">
      <alignment wrapText="1"/>
    </xf>
    <xf numFmtId="0" fontId="0" fillId="0" borderId="0" xfId="0" applyFill="1" applyBorder="1" applyProtection="1">
      <protection locked="0"/>
    </xf>
    <xf numFmtId="0" fontId="1" fillId="0" borderId="0" xfId="0" applyFont="1" applyFill="1" applyBorder="1" applyAlignment="1"/>
    <xf numFmtId="4" fontId="24" fillId="2" borderId="1" xfId="0" applyNumberFormat="1" applyFont="1" applyFill="1" applyBorder="1" applyProtection="1">
      <protection locked="0"/>
    </xf>
    <xf numFmtId="4" fontId="1" fillId="3" borderId="1" xfId="0" applyNumberFormat="1" applyFont="1" applyFill="1" applyBorder="1"/>
    <xf numFmtId="4" fontId="1" fillId="3" borderId="10" xfId="0" applyNumberFormat="1" applyFont="1" applyFill="1" applyBorder="1" applyAlignment="1"/>
    <xf numFmtId="0" fontId="0" fillId="0" borderId="1" xfId="0" applyBorder="1" applyAlignment="1"/>
    <xf numFmtId="2" fontId="1" fillId="6" borderId="1" xfId="0" applyNumberFormat="1" applyFont="1" applyFill="1" applyBorder="1"/>
    <xf numFmtId="0" fontId="1" fillId="4" borderId="1" xfId="0" applyFont="1" applyFill="1" applyBorder="1"/>
    <xf numFmtId="2" fontId="1" fillId="4" borderId="1" xfId="0" applyNumberFormat="1" applyFont="1" applyFill="1" applyBorder="1"/>
    <xf numFmtId="0" fontId="25" fillId="0" borderId="0" xfId="0" applyFont="1"/>
    <xf numFmtId="0" fontId="26" fillId="0" borderId="0" xfId="0" applyFont="1"/>
    <xf numFmtId="0" fontId="0" fillId="0" borderId="1" xfId="0" applyFill="1" applyBorder="1" applyAlignment="1"/>
    <xf numFmtId="0" fontId="0" fillId="12" borderId="1" xfId="0" applyFill="1" applyBorder="1" applyAlignment="1"/>
    <xf numFmtId="3" fontId="0" fillId="12" borderId="1" xfId="0" applyNumberFormat="1" applyFill="1" applyBorder="1"/>
    <xf numFmtId="0" fontId="0" fillId="12" borderId="1" xfId="0" applyFill="1" applyBorder="1"/>
    <xf numFmtId="0" fontId="1" fillId="0" borderId="1" xfId="0" applyFont="1" applyBorder="1"/>
    <xf numFmtId="2" fontId="1" fillId="0" borderId="1" xfId="0" applyNumberFormat="1" applyFont="1" applyBorder="1"/>
    <xf numFmtId="0" fontId="0" fillId="4" borderId="1" xfId="0" applyFill="1" applyBorder="1" applyAlignment="1"/>
    <xf numFmtId="0" fontId="24" fillId="12" borderId="1" xfId="0" applyFont="1" applyFill="1" applyBorder="1" applyAlignment="1"/>
    <xf numFmtId="0" fontId="24" fillId="4" borderId="1" xfId="0" applyFont="1" applyFill="1" applyBorder="1" applyAlignment="1"/>
    <xf numFmtId="1" fontId="1" fillId="0" borderId="1" xfId="0" applyNumberFormat="1" applyFont="1" applyBorder="1"/>
    <xf numFmtId="0" fontId="1" fillId="12" borderId="1" xfId="0" applyFont="1" applyFill="1" applyBorder="1"/>
    <xf numFmtId="2" fontId="0" fillId="0" borderId="1" xfId="0" applyNumberFormat="1" applyFont="1" applyBorder="1"/>
    <xf numFmtId="2" fontId="0" fillId="12" borderId="1" xfId="0" applyNumberFormat="1" applyFill="1" applyBorder="1"/>
    <xf numFmtId="4" fontId="24" fillId="5" borderId="1" xfId="0" applyNumberFormat="1" applyFont="1" applyFill="1" applyBorder="1" applyProtection="1">
      <protection locked="0"/>
    </xf>
    <xf numFmtId="3" fontId="1" fillId="12" borderId="1" xfId="0" applyNumberFormat="1" applyFont="1" applyFill="1" applyBorder="1"/>
    <xf numFmtId="0" fontId="0" fillId="0" borderId="0" xfId="0" applyAlignment="1">
      <alignment horizontal="left"/>
    </xf>
    <xf numFmtId="3" fontId="0" fillId="4" borderId="1" xfId="0" applyNumberFormat="1" applyFont="1" applyFill="1" applyBorder="1"/>
    <xf numFmtId="1" fontId="0" fillId="0" borderId="0" xfId="0" applyNumberFormat="1" applyBorder="1"/>
    <xf numFmtId="2" fontId="0" fillId="0" borderId="0" xfId="0" applyNumberFormat="1" applyBorder="1"/>
    <xf numFmtId="2" fontId="1" fillId="0" borderId="0" xfId="0" applyNumberFormat="1" applyFont="1" applyBorder="1"/>
    <xf numFmtId="0" fontId="1" fillId="6" borderId="0" xfId="0" applyFont="1" applyFill="1" applyBorder="1" applyAlignment="1">
      <alignment horizontal="left"/>
    </xf>
    <xf numFmtId="0" fontId="0" fillId="0" borderId="1" xfId="0" applyFill="1" applyBorder="1" applyAlignment="1">
      <alignment horizontal="left"/>
    </xf>
    <xf numFmtId="49" fontId="0" fillId="0" borderId="0" xfId="0" applyNumberFormat="1"/>
    <xf numFmtId="1" fontId="1" fillId="0" borderId="0" xfId="0" applyNumberFormat="1" applyFont="1" applyBorder="1"/>
    <xf numFmtId="3" fontId="0" fillId="0" borderId="1" xfId="0" applyNumberFormat="1" applyBorder="1" applyAlignment="1"/>
    <xf numFmtId="3" fontId="0" fillId="4" borderId="1" xfId="0" applyNumberFormat="1" applyFill="1" applyBorder="1" applyAlignment="1"/>
    <xf numFmtId="3" fontId="0" fillId="12" borderId="1" xfId="0" applyNumberFormat="1" applyFill="1" applyBorder="1" applyAlignment="1"/>
    <xf numFmtId="3" fontId="24" fillId="12" borderId="1" xfId="0" applyNumberFormat="1" applyFont="1" applyFill="1" applyBorder="1" applyAlignment="1"/>
    <xf numFmtId="2" fontId="0" fillId="0" borderId="1" xfId="0" applyNumberFormat="1" applyBorder="1" applyAlignment="1"/>
    <xf numFmtId="2" fontId="0" fillId="12" borderId="1" xfId="0" applyNumberFormat="1" applyFill="1" applyBorder="1" applyAlignment="1"/>
    <xf numFmtId="2" fontId="24" fillId="12" borderId="1" xfId="0" applyNumberFormat="1" applyFont="1" applyFill="1" applyBorder="1" applyAlignment="1"/>
    <xf numFmtId="3" fontId="0" fillId="4" borderId="1" xfId="0" applyNumberFormat="1" applyFill="1" applyBorder="1"/>
    <xf numFmtId="3" fontId="24" fillId="2" borderId="1" xfId="0" applyNumberFormat="1" applyFont="1" applyFill="1" applyBorder="1" applyProtection="1">
      <protection locked="0"/>
    </xf>
    <xf numFmtId="2" fontId="24" fillId="2" borderId="1" xfId="0" applyNumberFormat="1" applyFont="1" applyFill="1" applyBorder="1" applyProtection="1">
      <protection locked="0"/>
    </xf>
    <xf numFmtId="0" fontId="0" fillId="2" borderId="1" xfId="0" applyFill="1" applyBorder="1" applyAlignment="1">
      <alignment horizontal="left"/>
    </xf>
    <xf numFmtId="0" fontId="0" fillId="2" borderId="1" xfId="0" applyFill="1" applyBorder="1" applyAlignment="1">
      <alignment horizontal="left" vertical="center"/>
    </xf>
    <xf numFmtId="0" fontId="1" fillId="6" borderId="0" xfId="0" applyFont="1" applyFill="1" applyAlignment="1">
      <alignment horizontal="left"/>
    </xf>
    <xf numFmtId="0" fontId="1" fillId="3" borderId="1" xfId="0" applyFont="1" applyFill="1" applyBorder="1" applyAlignment="1">
      <alignment horizontal="left"/>
    </xf>
    <xf numFmtId="0" fontId="0" fillId="0" borderId="1" xfId="0" applyBorder="1" applyAlignment="1">
      <alignment horizontal="left"/>
    </xf>
    <xf numFmtId="0" fontId="0" fillId="5" borderId="1" xfId="0" applyFill="1" applyBorder="1" applyAlignment="1">
      <alignment horizontal="left"/>
    </xf>
    <xf numFmtId="0" fontId="0" fillId="0" borderId="1" xfId="0" applyBorder="1" applyAlignment="1">
      <alignment horizontal="left" wrapText="1"/>
    </xf>
    <xf numFmtId="4" fontId="0" fillId="2" borderId="1" xfId="0" applyNumberFormat="1" applyFill="1" applyBorder="1" applyAlignment="1">
      <alignment horizontal="left"/>
    </xf>
    <xf numFmtId="0" fontId="1" fillId="0" borderId="0" xfId="0" applyFont="1" applyFill="1" applyBorder="1" applyAlignment="1">
      <alignment horizontal="left"/>
    </xf>
    <xf numFmtId="0" fontId="1" fillId="6" borderId="1" xfId="0" applyFont="1" applyFill="1" applyBorder="1" applyAlignment="1">
      <alignment horizontal="left"/>
    </xf>
    <xf numFmtId="0" fontId="1" fillId="6" borderId="9" xfId="0" applyFont="1" applyFill="1" applyBorder="1" applyAlignment="1">
      <alignment horizontal="left"/>
    </xf>
    <xf numFmtId="0" fontId="1" fillId="6" borderId="10" xfId="0" applyFont="1" applyFill="1" applyBorder="1" applyAlignment="1">
      <alignment horizontal="left"/>
    </xf>
    <xf numFmtId="4" fontId="0" fillId="2" borderId="1" xfId="0" applyNumberFormat="1" applyFill="1" applyBorder="1"/>
    <xf numFmtId="0" fontId="5" fillId="2" borderId="1" xfId="1" applyFill="1" applyBorder="1"/>
    <xf numFmtId="0" fontId="0" fillId="13" borderId="1" xfId="0" applyFill="1" applyBorder="1" applyAlignment="1">
      <alignment horizontal="left"/>
    </xf>
    <xf numFmtId="4" fontId="0" fillId="13" borderId="1" xfId="0" applyNumberFormat="1" applyFill="1" applyBorder="1"/>
    <xf numFmtId="0" fontId="0" fillId="13" borderId="1" xfId="0" applyFill="1" applyBorder="1"/>
    <xf numFmtId="0" fontId="5" fillId="13" borderId="1" xfId="1" applyFill="1" applyBorder="1"/>
    <xf numFmtId="4" fontId="0" fillId="2" borderId="0" xfId="0" applyNumberFormat="1" applyFill="1"/>
    <xf numFmtId="0" fontId="0" fillId="0" borderId="0" xfId="0" applyFill="1"/>
    <xf numFmtId="0" fontId="0" fillId="13" borderId="1" xfId="0" applyFill="1" applyBorder="1" applyAlignment="1">
      <alignment wrapText="1"/>
    </xf>
    <xf numFmtId="0" fontId="0" fillId="13" borderId="1" xfId="0" applyFill="1" applyBorder="1" applyAlignment="1">
      <alignment horizontal="left" vertical="center"/>
    </xf>
    <xf numFmtId="170" fontId="0" fillId="13" borderId="1" xfId="0" applyNumberFormat="1" applyFill="1" applyBorder="1" applyAlignment="1">
      <alignment horizontal="left" vertical="center"/>
    </xf>
    <xf numFmtId="4" fontId="0" fillId="13" borderId="1" xfId="0" applyNumberFormat="1" applyFill="1" applyBorder="1" applyAlignment="1">
      <alignment horizontal="left" vertical="center"/>
    </xf>
    <xf numFmtId="0" fontId="0" fillId="13" borderId="1" xfId="0" applyFill="1" applyBorder="1" applyAlignment="1">
      <alignment horizontal="left" vertical="center" wrapText="1"/>
    </xf>
    <xf numFmtId="0" fontId="5" fillId="13" borderId="1" xfId="1" applyFill="1" applyBorder="1" applyAlignment="1">
      <alignment horizontal="left" vertical="center"/>
    </xf>
    <xf numFmtId="0" fontId="0" fillId="13" borderId="0" xfId="0" applyFill="1" applyAlignment="1">
      <alignment horizontal="left" vertical="center"/>
    </xf>
    <xf numFmtId="0" fontId="0" fillId="13" borderId="0" xfId="0" applyFill="1" applyAlignment="1">
      <alignment horizontal="left" vertical="center" wrapText="1"/>
    </xf>
    <xf numFmtId="0" fontId="0" fillId="5" borderId="1" xfId="0" applyFill="1" applyBorder="1" applyProtection="1">
      <protection locked="0"/>
    </xf>
    <xf numFmtId="0" fontId="0" fillId="2" borderId="1" xfId="0" applyFill="1" applyBorder="1" applyAlignment="1"/>
    <xf numFmtId="0" fontId="24" fillId="2" borderId="1" xfId="0" applyFont="1" applyFill="1" applyBorder="1" applyAlignment="1"/>
    <xf numFmtId="0" fontId="1" fillId="0" borderId="7" xfId="0" applyFont="1" applyBorder="1" applyAlignment="1">
      <alignment horizontal="left"/>
    </xf>
    <xf numFmtId="0" fontId="0" fillId="2" borderId="1" xfId="0" applyFill="1" applyBorder="1" applyAlignment="1">
      <alignment wrapText="1"/>
    </xf>
    <xf numFmtId="0" fontId="0" fillId="5" borderId="1" xfId="0" applyFill="1" applyBorder="1"/>
    <xf numFmtId="0" fontId="0" fillId="13" borderId="0" xfId="0" applyFill="1" applyAlignment="1">
      <alignment horizontal="left"/>
    </xf>
    <xf numFmtId="0" fontId="0" fillId="2" borderId="0" xfId="0" applyFill="1" applyAlignment="1">
      <alignment horizontal="left"/>
    </xf>
    <xf numFmtId="0" fontId="1" fillId="6" borderId="1" xfId="0" applyFont="1" applyFill="1" applyBorder="1" applyAlignment="1">
      <alignment horizontal="left" wrapText="1"/>
    </xf>
    <xf numFmtId="169" fontId="0" fillId="13" borderId="1" xfId="0" applyNumberFormat="1" applyFill="1" applyBorder="1" applyAlignment="1">
      <alignment horizontal="left"/>
    </xf>
    <xf numFmtId="0" fontId="0" fillId="11" borderId="1" xfId="0" applyFill="1" applyBorder="1" applyAlignment="1">
      <alignment horizontal="left"/>
    </xf>
    <xf numFmtId="3" fontId="0" fillId="0" borderId="0" xfId="0" applyNumberFormat="1" applyAlignment="1">
      <alignment horizontal="left"/>
    </xf>
    <xf numFmtId="3" fontId="0" fillId="4" borderId="0" xfId="0" applyNumberFormat="1" applyFill="1" applyAlignment="1">
      <alignment horizontal="left"/>
    </xf>
    <xf numFmtId="49" fontId="0" fillId="0" borderId="0" xfId="0" applyNumberFormat="1" applyAlignment="1">
      <alignment horizontal="left"/>
    </xf>
    <xf numFmtId="4" fontId="0" fillId="2" borderId="1" xfId="0" applyNumberFormat="1" applyFill="1" applyBorder="1" applyAlignment="1">
      <alignment vertical="center"/>
    </xf>
    <xf numFmtId="0" fontId="5" fillId="2" borderId="1" xfId="1" applyFill="1" applyBorder="1" applyAlignment="1">
      <alignment horizontal="left" vertical="center" wrapText="1"/>
    </xf>
    <xf numFmtId="171" fontId="0" fillId="4" borderId="1" xfId="0" applyNumberFormat="1" applyFill="1" applyBorder="1"/>
    <xf numFmtId="0" fontId="0" fillId="14" borderId="1" xfId="0" applyFill="1" applyBorder="1" applyAlignment="1"/>
    <xf numFmtId="3" fontId="0" fillId="14" borderId="1" xfId="0" applyNumberFormat="1" applyFill="1" applyBorder="1"/>
    <xf numFmtId="2" fontId="0" fillId="14" borderId="1" xfId="0" applyNumberFormat="1" applyFill="1" applyBorder="1"/>
    <xf numFmtId="0" fontId="0" fillId="14" borderId="1" xfId="0" applyFill="1" applyBorder="1"/>
    <xf numFmtId="171" fontId="0" fillId="0" borderId="1" xfId="0" applyNumberFormat="1" applyBorder="1" applyAlignment="1"/>
    <xf numFmtId="170" fontId="0" fillId="4" borderId="1" xfId="0" applyNumberFormat="1" applyFill="1" applyBorder="1"/>
    <xf numFmtId="0" fontId="1" fillId="3" borderId="11" xfId="0" applyFont="1" applyFill="1" applyBorder="1" applyAlignment="1">
      <alignment horizontal="left"/>
    </xf>
    <xf numFmtId="0" fontId="1" fillId="3" borderId="12" xfId="0" applyFont="1" applyFill="1" applyBorder="1" applyAlignment="1">
      <alignment horizontal="left"/>
    </xf>
    <xf numFmtId="0" fontId="1" fillId="3" borderId="13" xfId="0" applyFont="1" applyFill="1" applyBorder="1" applyAlignment="1">
      <alignment horizontal="left"/>
    </xf>
    <xf numFmtId="0" fontId="1" fillId="3" borderId="1" xfId="0" applyFont="1" applyFill="1" applyBorder="1" applyAlignment="1">
      <alignment vertical="center" wrapText="1"/>
    </xf>
    <xf numFmtId="0" fontId="0" fillId="0" borderId="0" xfId="0" applyAlignment="1">
      <alignment vertical="center" wrapText="1"/>
    </xf>
    <xf numFmtId="2" fontId="0" fillId="13" borderId="1" xfId="0" applyNumberFormat="1" applyFill="1" applyBorder="1" applyAlignment="1">
      <alignment horizontal="left"/>
    </xf>
    <xf numFmtId="2" fontId="0" fillId="13" borderId="1" xfId="0" applyNumberFormat="1" applyFill="1" applyBorder="1" applyAlignment="1">
      <alignment horizontal="left" vertical="center"/>
    </xf>
    <xf numFmtId="0" fontId="0" fillId="13" borderId="1" xfId="0" applyFill="1" applyBorder="1" applyAlignment="1">
      <alignment vertical="center"/>
    </xf>
    <xf numFmtId="0" fontId="0" fillId="13" borderId="1" xfId="0" applyFill="1" applyBorder="1" applyAlignment="1">
      <alignment vertical="center" wrapText="1"/>
    </xf>
    <xf numFmtId="0" fontId="5" fillId="13" borderId="1" xfId="1" applyFill="1" applyBorder="1" applyAlignment="1">
      <alignment vertical="center"/>
    </xf>
  </cellXfs>
  <cellStyles count="62">
    <cellStyle name="2x indented GHG Textfiels" xfId="3"/>
    <cellStyle name="5x indented GHG Textfiels" xfId="4"/>
    <cellStyle name="Bold GHG Numbers (0.00)" xfId="5"/>
    <cellStyle name="Column heading" xfId="6"/>
    <cellStyle name="Comma0" xfId="7"/>
    <cellStyle name="Corner heading" xfId="8"/>
    <cellStyle name="Currency0" xfId="9"/>
    <cellStyle name="Data" xfId="10"/>
    <cellStyle name="Data no deci" xfId="11"/>
    <cellStyle name="Data Superscript" xfId="12"/>
    <cellStyle name="Data_1-1A-Regular" xfId="13"/>
    <cellStyle name="Data-one deci" xfId="14"/>
    <cellStyle name="Date" xfId="15"/>
    <cellStyle name="Fixed" xfId="16"/>
    <cellStyle name="Headline" xfId="17"/>
    <cellStyle name="Hed Side" xfId="18"/>
    <cellStyle name="Hed Side bold" xfId="19"/>
    <cellStyle name="Hed Side Indent" xfId="20"/>
    <cellStyle name="Hed Side Regular" xfId="21"/>
    <cellStyle name="Hed Side_1-1A-Regular" xfId="22"/>
    <cellStyle name="Hed Top" xfId="23"/>
    <cellStyle name="Hed Top - SECTION" xfId="24"/>
    <cellStyle name="Hed Top_3-new4" xfId="25"/>
    <cellStyle name="Hyperlink" xfId="1" builtinId="8"/>
    <cellStyle name="Milliers [0]_Annex_comb_guideline_version4-2" xfId="26"/>
    <cellStyle name="Milliers_Annex_comb_guideline_version4-2" xfId="27"/>
    <cellStyle name="Monétaire [0]_Annex comb guideline 4-7" xfId="28"/>
    <cellStyle name="Monétaire_Annex_comb_guideline_version4-2" xfId="29"/>
    <cellStyle name="Normal" xfId="0" builtinId="0"/>
    <cellStyle name="Normal 2" xfId="30"/>
    <cellStyle name="Normal 3" xfId="2"/>
    <cellStyle name="Normal GHG Numbers (0.00)" xfId="31"/>
    <cellStyle name="Normal GHG Textfiels Bold" xfId="32"/>
    <cellStyle name="Normal GHG whole table" xfId="33"/>
    <cellStyle name="Normal GHG-Shade" xfId="34"/>
    <cellStyle name="Pattern" xfId="35"/>
    <cellStyle name="Reference" xfId="36"/>
    <cellStyle name="Row heading" xfId="37"/>
    <cellStyle name="Source Hed" xfId="38"/>
    <cellStyle name="Source Letter" xfId="39"/>
    <cellStyle name="Source Superscript" xfId="40"/>
    <cellStyle name="Source Text" xfId="41"/>
    <cellStyle name="Standard_CRF Inventar" xfId="42"/>
    <cellStyle name="State" xfId="43"/>
    <cellStyle name="Superscript" xfId="44"/>
    <cellStyle name="Superscript- regular" xfId="45"/>
    <cellStyle name="Superscript_1-1A-Regular" xfId="46"/>
    <cellStyle name="Table Data" xfId="47"/>
    <cellStyle name="Table Head Top" xfId="48"/>
    <cellStyle name="Table Hed Side" xfId="49"/>
    <cellStyle name="Table Title" xfId="50"/>
    <cellStyle name="Title Text" xfId="51"/>
    <cellStyle name="Title Text 1" xfId="52"/>
    <cellStyle name="Title Text 2" xfId="53"/>
    <cellStyle name="Title-1" xfId="54"/>
    <cellStyle name="Title-2" xfId="55"/>
    <cellStyle name="Title-3" xfId="56"/>
    <cellStyle name="Wrap" xfId="57"/>
    <cellStyle name="Wrap Bold" xfId="58"/>
    <cellStyle name="Wrap Title" xfId="59"/>
    <cellStyle name="Wrap_NTS99-~11" xfId="60"/>
    <cellStyle name="標準_CRF1999" xfId="61"/>
  </cellStyles>
  <dxfs count="6">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nina.riehle@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edgebuildings.com/wp-content/uploads/2017/12/IFC-India-Construction-Materials-Database-Methodology-Report.pdf" TargetMode="External"/><Relationship Id="rId13" Type="http://schemas.openxmlformats.org/officeDocument/2006/relationships/hyperlink" Target="https://www.edgebuildings.com/wp-content/uploads/2017/12/IFC-India-Construction-Materials-Database-Methodology-Report.pdf" TargetMode="External"/><Relationship Id="rId18" Type="http://schemas.openxmlformats.org/officeDocument/2006/relationships/hyperlink" Target="http://www.earthbagbuilding.com/pdf/vadgama.pdf" TargetMode="External"/><Relationship Id="rId26" Type="http://schemas.openxmlformats.org/officeDocument/2006/relationships/hyperlink" Target="http://www.earth-auroville.com/earth_in_auroville_introduction_en.php" TargetMode="External"/><Relationship Id="rId3" Type="http://schemas.openxmlformats.org/officeDocument/2006/relationships/hyperlink" Target="https://www.edgebuildings.com/wp-content/uploads/2017/12/IFC-India-Construction-Materials-Database-Methodology-Report.pdf" TargetMode="External"/><Relationship Id="rId21" Type="http://schemas.openxmlformats.org/officeDocument/2006/relationships/hyperlink" Target="http://www.minergynepal.com/publications/SEC%20Report_MinErgy.pdf" TargetMode="External"/><Relationship Id="rId7" Type="http://schemas.openxmlformats.org/officeDocument/2006/relationships/hyperlink" Target="https://www.edgebuildings.com/wp-content/uploads/2017/12/IFC-India-Construction-Materials-Database-Methodology-Report.pdf" TargetMode="External"/><Relationship Id="rId12" Type="http://schemas.openxmlformats.org/officeDocument/2006/relationships/hyperlink" Target="https://www.edgebuildings.com/wp-content/uploads/2017/12/IFC-India-Construction-Materials-Database-Methodology-Report.pdf" TargetMode="External"/><Relationship Id="rId17" Type="http://schemas.openxmlformats.org/officeDocument/2006/relationships/hyperlink" Target="http://bambus.rwth-aachen.de/eng/reports/buildingmaterial/buildingmaterial.html" TargetMode="External"/><Relationship Id="rId25" Type="http://schemas.openxmlformats.org/officeDocument/2006/relationships/hyperlink" Target="https://www.edgebuildings.com/wp-content/uploads/2017/12/IFC-India-Construction-Materials-Database-Methodology-Report.pdf" TargetMode="External"/><Relationship Id="rId2" Type="http://schemas.openxmlformats.org/officeDocument/2006/relationships/hyperlink" Target="https://www.edgebuildings.com/wp-content/uploads/2017/12/IFC-India-Construction-Materials-Database-Methodology-Report.pdf" TargetMode="External"/><Relationship Id="rId16" Type="http://schemas.openxmlformats.org/officeDocument/2006/relationships/hyperlink" Target="http://bambus.rwth-aachen.de/eng/reports/buildingmaterial/buildingmaterial.html" TargetMode="External"/><Relationship Id="rId20" Type="http://schemas.openxmlformats.org/officeDocument/2006/relationships/hyperlink" Target="http://www.minergynepal.com/publications/SEC%20Report_MinErgy.pdf" TargetMode="External"/><Relationship Id="rId29" Type="http://schemas.openxmlformats.org/officeDocument/2006/relationships/hyperlink" Target="https://www.sheltercluster.org/sites/default/files/docs/technical_annex_cgi_v1_20150811.pdf" TargetMode="External"/><Relationship Id="rId1" Type="http://schemas.openxmlformats.org/officeDocument/2006/relationships/hyperlink" Target="http://www.earth-auroville.com/compressed_stabilised_earth_block_en.php" TargetMode="External"/><Relationship Id="rId6" Type="http://schemas.openxmlformats.org/officeDocument/2006/relationships/hyperlink" Target="https://www.edgebuildings.com/wp-content/uploads/2017/12/IFC-India-Construction-Materials-Database-Methodology-Report.pdf" TargetMode="External"/><Relationship Id="rId11" Type="http://schemas.openxmlformats.org/officeDocument/2006/relationships/hyperlink" Target="http://www.dudbc.gov.np/uploads/default/files/5fbe64743168c770bbbf7e4d02d38918.pdf" TargetMode="External"/><Relationship Id="rId24" Type="http://schemas.openxmlformats.org/officeDocument/2006/relationships/hyperlink" Target="https://www.edgebuildings.com/wp-content/uploads/2017/12/IFC-India-Construction-Materials-Database-Methodology-Report.pdf" TargetMode="External"/><Relationship Id="rId5" Type="http://schemas.openxmlformats.org/officeDocument/2006/relationships/hyperlink" Target="https://www.edgebuildings.com/wp-content/uploads/2017/12/IFC-India-Construction-Materials-Database-Methodology-Report.pdf" TargetMode="External"/><Relationship Id="rId15" Type="http://schemas.openxmlformats.org/officeDocument/2006/relationships/hyperlink" Target="https://www.sheltercluster.org/sites/default/files/docs/cgi_specification_150708.pdf" TargetMode="External"/><Relationship Id="rId23" Type="http://schemas.openxmlformats.org/officeDocument/2006/relationships/hyperlink" Target="https://www.edgebuildings.com/wp-content/uploads/2017/12/IFC-India-Construction-Materials-Database-Methodology-Report.pdf" TargetMode="External"/><Relationship Id="rId28" Type="http://schemas.openxmlformats.org/officeDocument/2006/relationships/hyperlink" Target="https://www.sheltercluster.org/sites/default/files/docs/technical_annex_cgi_v1_20150811.pdf" TargetMode="External"/><Relationship Id="rId10" Type="http://schemas.openxmlformats.org/officeDocument/2006/relationships/hyperlink" Target="http://www.dudbc.gov.np/uploads/default/files/09c6f80a5cf823991cd05cb90a1ab677.pdf" TargetMode="External"/><Relationship Id="rId19" Type="http://schemas.openxmlformats.org/officeDocument/2006/relationships/hyperlink" Target="http://www.minergynepal.com/publications/SEC%20Report_MinErgy.pdf" TargetMode="External"/><Relationship Id="rId4" Type="http://schemas.openxmlformats.org/officeDocument/2006/relationships/hyperlink" Target="https://www.edgebuildings.com/wp-content/uploads/2017/12/IFC-India-Construction-Materials-Database-Methodology-Report.pdf" TargetMode="External"/><Relationship Id="rId9" Type="http://schemas.openxmlformats.org/officeDocument/2006/relationships/hyperlink" Target="https://www.simetric.co.uk/si_materials.htm" TargetMode="External"/><Relationship Id="rId14" Type="http://schemas.openxmlformats.org/officeDocument/2006/relationships/hyperlink" Target="https://www.edgebuildings.com/wp-content/uploads/2017/12/IFC-India-Construction-Materials-Database-Methodology-Report.pdf" TargetMode="External"/><Relationship Id="rId22" Type="http://schemas.openxmlformats.org/officeDocument/2006/relationships/hyperlink" Target="http://www.minergynepal.com/publications/SEC%20Report_MinErgy.pdf" TargetMode="External"/><Relationship Id="rId27" Type="http://schemas.openxmlformats.org/officeDocument/2006/relationships/hyperlink" Target="http://www.organicexplorer.co.nz/site/organicexplore/files/ICE%20Version%201.6a.pdf" TargetMode="External"/><Relationship Id="rId30"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pdfs.semanticscholar.org/11d5/9771cffe8ffd964a0c439aaec94dba42457d.pdf" TargetMode="External"/><Relationship Id="rId1" Type="http://schemas.openxmlformats.org/officeDocument/2006/relationships/hyperlink" Target="http://airbushelicoptersinc.com/products/H135-specifications.asp"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hyperlink" Target="http://www.ghgprotocol.org/sites/default/files/ghgp/Global-Warming-Potential-Values%20%28Feb%2016%202016%29_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18"/>
  <sheetViews>
    <sheetView zoomScale="80" zoomScaleNormal="80" workbookViewId="0">
      <selection activeCell="C2" sqref="C2"/>
    </sheetView>
  </sheetViews>
  <sheetFormatPr defaultRowHeight="14.5" x14ac:dyDescent="0.35"/>
  <cols>
    <col min="2" max="2" width="29" bestFit="1" customWidth="1"/>
    <col min="3" max="3" width="114.54296875" customWidth="1"/>
  </cols>
  <sheetData>
    <row r="2" spans="2:3" ht="18.5" x14ac:dyDescent="0.45">
      <c r="B2" s="55" t="s">
        <v>250</v>
      </c>
    </row>
    <row r="4" spans="2:3" x14ac:dyDescent="0.35">
      <c r="B4" s="92" t="s">
        <v>40</v>
      </c>
      <c r="C4" s="92"/>
    </row>
    <row r="5" spans="2:3" x14ac:dyDescent="0.35">
      <c r="B5" t="s">
        <v>28</v>
      </c>
      <c r="C5" s="15">
        <f ca="1">TODAY()</f>
        <v>43187</v>
      </c>
    </row>
    <row r="6" spans="2:3" x14ac:dyDescent="0.35">
      <c r="B6" t="s">
        <v>45</v>
      </c>
      <c r="C6" t="s">
        <v>46</v>
      </c>
    </row>
    <row r="7" spans="2:3" x14ac:dyDescent="0.35">
      <c r="B7" t="s">
        <v>26</v>
      </c>
      <c r="C7" t="s">
        <v>29</v>
      </c>
    </row>
    <row r="8" spans="2:3" x14ac:dyDescent="0.35">
      <c r="C8" s="6" t="s">
        <v>30</v>
      </c>
    </row>
    <row r="9" spans="2:3" x14ac:dyDescent="0.35">
      <c r="C9" s="16" t="s">
        <v>47</v>
      </c>
    </row>
    <row r="10" spans="2:3" x14ac:dyDescent="0.35">
      <c r="B10" t="s">
        <v>27</v>
      </c>
      <c r="C10" t="s">
        <v>31</v>
      </c>
    </row>
    <row r="11" spans="2:3" ht="29" x14ac:dyDescent="0.35">
      <c r="B11" s="13" t="s">
        <v>37</v>
      </c>
      <c r="C11" s="12" t="s">
        <v>38</v>
      </c>
    </row>
    <row r="12" spans="2:3" ht="16.5" x14ac:dyDescent="0.45">
      <c r="B12" t="s">
        <v>32</v>
      </c>
      <c r="C12" t="s">
        <v>33</v>
      </c>
    </row>
    <row r="13" spans="2:3" ht="16.5" x14ac:dyDescent="0.35">
      <c r="B13" t="s">
        <v>34</v>
      </c>
      <c r="C13" t="s">
        <v>90</v>
      </c>
    </row>
    <row r="14" spans="2:3" x14ac:dyDescent="0.35">
      <c r="B14" t="s">
        <v>35</v>
      </c>
      <c r="C14" t="s">
        <v>36</v>
      </c>
    </row>
    <row r="15" spans="2:3" ht="43.5" x14ac:dyDescent="0.35">
      <c r="B15" s="13" t="s">
        <v>39</v>
      </c>
      <c r="C15" s="12" t="s">
        <v>58</v>
      </c>
    </row>
    <row r="17" spans="2:3" x14ac:dyDescent="0.35">
      <c r="B17" s="92" t="s">
        <v>41</v>
      </c>
      <c r="C17" s="92"/>
    </row>
    <row r="18" spans="2:3" ht="132" customHeight="1" x14ac:dyDescent="0.35">
      <c r="B18" s="13" t="s">
        <v>42</v>
      </c>
      <c r="C18" s="145" t="s">
        <v>248</v>
      </c>
    </row>
  </sheetData>
  <mergeCells count="2">
    <mergeCell ref="B17:C17"/>
    <mergeCell ref="B4:C4"/>
  </mergeCells>
  <hyperlinks>
    <hyperlink ref="C8"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66"/>
  <sheetViews>
    <sheetView topLeftCell="A36" zoomScale="80" zoomScaleNormal="80" workbookViewId="0">
      <selection activeCell="E47" sqref="E47"/>
    </sheetView>
  </sheetViews>
  <sheetFormatPr defaultRowHeight="14.5" x14ac:dyDescent="0.35"/>
  <cols>
    <col min="2" max="2" width="20.36328125" customWidth="1"/>
    <col min="3" max="3" width="14.81640625" bestFit="1" customWidth="1"/>
    <col min="4" max="4" width="14.1796875" customWidth="1"/>
    <col min="5" max="5" width="15.1796875" customWidth="1"/>
    <col min="6" max="6" width="15.453125" bestFit="1" customWidth="1"/>
    <col min="7" max="7" width="11.7265625" customWidth="1"/>
    <col min="8" max="8" width="10.7265625" customWidth="1"/>
    <col min="9" max="9" width="19.36328125" customWidth="1"/>
    <col min="10" max="10" width="13.08984375" customWidth="1"/>
    <col min="11" max="11" width="11.1796875" customWidth="1"/>
    <col min="12" max="12" width="11.90625" customWidth="1"/>
    <col min="13" max="13" width="16.81640625" customWidth="1"/>
    <col min="14" max="14" width="12.453125" customWidth="1"/>
  </cols>
  <sheetData>
    <row r="2" spans="2:12" ht="18.5" x14ac:dyDescent="0.45">
      <c r="B2" s="55" t="s">
        <v>249</v>
      </c>
    </row>
    <row r="4" spans="2:12" ht="15.5" x14ac:dyDescent="0.35">
      <c r="B4" s="54" t="s">
        <v>65</v>
      </c>
    </row>
    <row r="5" spans="2:12" x14ac:dyDescent="0.35">
      <c r="B5" s="4"/>
      <c r="C5" t="s">
        <v>0</v>
      </c>
    </row>
    <row r="6" spans="2:12" x14ac:dyDescent="0.35">
      <c r="B6" s="1"/>
      <c r="C6" t="s">
        <v>1</v>
      </c>
    </row>
    <row r="8" spans="2:12" ht="15.5" x14ac:dyDescent="0.35">
      <c r="B8" s="54" t="s">
        <v>153</v>
      </c>
      <c r="I8" s="54" t="s">
        <v>154</v>
      </c>
    </row>
    <row r="9" spans="2:12" x14ac:dyDescent="0.35">
      <c r="B9" s="94" t="s">
        <v>150</v>
      </c>
      <c r="C9" s="94"/>
      <c r="D9" s="95" t="s">
        <v>142</v>
      </c>
      <c r="E9" s="95"/>
      <c r="I9" s="94" t="s">
        <v>148</v>
      </c>
      <c r="J9" s="94"/>
      <c r="K9" s="95"/>
      <c r="L9" s="95"/>
    </row>
    <row r="10" spans="2:12" x14ac:dyDescent="0.35">
      <c r="B10" s="94" t="s">
        <v>151</v>
      </c>
      <c r="C10" s="94"/>
      <c r="D10" s="95" t="s">
        <v>137</v>
      </c>
      <c r="E10" s="95"/>
      <c r="I10" s="94" t="s">
        <v>87</v>
      </c>
      <c r="J10" s="94"/>
      <c r="K10" s="95"/>
      <c r="L10" s="95"/>
    </row>
    <row r="11" spans="2:12" ht="16.5" x14ac:dyDescent="0.35">
      <c r="B11" s="94" t="s">
        <v>107</v>
      </c>
      <c r="C11" s="94"/>
      <c r="D11" s="97">
        <f>IF($D$10="Stone Masonry Cement Mortar 1F",'Stone Masonry Cement Mortar 1F'!C8,0)+IF($D$10="Stone Masonry Mud Mortar 1F",'Stone Masonry Mud Mortar 1F'!C8,0)+IF($D$10="Brick Masonry Cement Mortar 1F",'Brick Masonry Cement Mortar 1F'!C8,0)+IF($D$10="Brick Masonry Mud Mortar 1F",'Brick Masonry Mud Mortar 1F'!C8,0)+IF($D$10="CSEB 1F",'CSEB 1F'!C8,0)+IF($D$10="Earth Bag 1F",'Earth Bag 1F'!C8,0)+IF($D$10="Stone Masonry Cement Mortar 2F",'Stone Masonry Cement Mortar 2F'!C8,0)+IF($D$10="Brick Masonry Cement Mortar 2F",'Brick Masonry Cement Mortar 2F'!C8,0)+IF($D$10="Hollow Concrete Block 2F",'Hollow Concrete Block 2F'!C8,0)+IF($D$10="CSEB 2F",'CSEB 2F'!C8,0)+IF($D$10="Timber Structure 2F",'Timber Structure 2F'!C8,0)+IF($D$10="Bamboo Stone Hybrid 2F",'Bamboo Stone Hybrid 2F'!C8,0)</f>
        <v>41.274999999999999</v>
      </c>
      <c r="E11" s="97"/>
      <c r="I11" s="94" t="s">
        <v>107</v>
      </c>
      <c r="J11" s="94"/>
      <c r="K11" s="95">
        <v>26</v>
      </c>
      <c r="L11" s="95"/>
    </row>
    <row r="13" spans="2:12" ht="15.5" x14ac:dyDescent="0.35">
      <c r="B13" s="54" t="s">
        <v>155</v>
      </c>
    </row>
    <row r="14" spans="2:12" ht="26.5" customHeight="1" x14ac:dyDescent="0.35">
      <c r="B14" s="96" t="s">
        <v>158</v>
      </c>
      <c r="C14" s="96"/>
      <c r="D14" s="95" t="s">
        <v>85</v>
      </c>
      <c r="E14" s="95"/>
    </row>
    <row r="15" spans="2:12" x14ac:dyDescent="0.35">
      <c r="B15" t="s">
        <v>152</v>
      </c>
    </row>
    <row r="17" spans="2:16" ht="15.5" x14ac:dyDescent="0.35">
      <c r="B17" s="54" t="s">
        <v>156</v>
      </c>
      <c r="I17" s="54" t="s">
        <v>157</v>
      </c>
      <c r="N17" s="44"/>
      <c r="O17" s="26"/>
      <c r="P17" s="44"/>
    </row>
    <row r="18" spans="2:16" ht="32" x14ac:dyDescent="0.45">
      <c r="B18" s="28" t="s">
        <v>119</v>
      </c>
      <c r="C18" s="28" t="s">
        <v>76</v>
      </c>
      <c r="D18" s="28" t="s">
        <v>181</v>
      </c>
      <c r="E18" s="28" t="s">
        <v>108</v>
      </c>
      <c r="F18" s="29" t="s">
        <v>123</v>
      </c>
      <c r="G18" s="26"/>
      <c r="H18" s="26"/>
      <c r="I18" s="28" t="s">
        <v>119</v>
      </c>
      <c r="J18" s="28" t="s">
        <v>76</v>
      </c>
      <c r="K18" s="28" t="s">
        <v>181</v>
      </c>
      <c r="L18" s="28" t="s">
        <v>108</v>
      </c>
      <c r="M18" s="29" t="s">
        <v>123</v>
      </c>
      <c r="N18" s="45"/>
      <c r="O18" s="37"/>
      <c r="P18" s="45"/>
    </row>
    <row r="19" spans="2:16" x14ac:dyDescent="0.35">
      <c r="B19" s="62" t="s">
        <v>17</v>
      </c>
      <c r="C19" s="88">
        <f>IF($D$10="Stone Masonry Cement Mortar 1F",'Stone Masonry Cement Mortar 1F'!C11,0)+IF($D$10="Stone Masonry Mud Mortar 1F",'Stone Masonry Mud Mortar 1F'!C11,0)+IF($D$10="Brick Masonry Cement Mortar 1F",'Brick Masonry Cement Mortar 1F'!C11,0)+IF($D$10="Brick Masonry Mud Mortar 1F",'Brick Masonry Mud Mortar 1F'!C11,0)+IF($D$10="CSEB 1F",'CSEB 1F'!C11,0)+IF($D$10="Earth Bag 1F",'Earth Bag 1F'!C11,0)+IF($D$10="Stone Masonry Cement Mortar 2F",'Stone Masonry Cement Mortar 2F'!C11,0)+IF($D$10="Brick Masonry Cement Mortar 2F",'Brick Masonry Cement Mortar 2F'!C11,0)+IF($D$10="Hollow Concrete Block 2F",'Hollow Concrete Block 2F'!C11,0)+IF($D$10="CSEB 2F",'CSEB 2F'!C11,0)+IF($D$10="Timber Structure 2F",'Timber Structure 2F'!C11,0)+IF($D$10="Bamboo Stone Hybrid 2F",'Bamboo Stone Hybrid 2F'!C11,0)</f>
        <v>6350</v>
      </c>
      <c r="D19" s="89">
        <f>'Material GHG'!C10</f>
        <v>0.91</v>
      </c>
      <c r="E19" s="47">
        <f>C19*D19</f>
        <v>5778.5</v>
      </c>
      <c r="F19" s="47">
        <f>E19/$D$11</f>
        <v>140</v>
      </c>
      <c r="G19" s="45"/>
      <c r="H19" s="45"/>
      <c r="I19" s="62" t="s">
        <v>17</v>
      </c>
      <c r="J19" s="69"/>
      <c r="K19" s="89">
        <f>'Material GHG'!C10</f>
        <v>0.91</v>
      </c>
      <c r="L19" s="47">
        <f>J19*K19</f>
        <v>0</v>
      </c>
      <c r="M19" s="47">
        <f>L19/$K$11</f>
        <v>0</v>
      </c>
      <c r="N19" s="45"/>
      <c r="O19" s="45"/>
      <c r="P19" s="45"/>
    </row>
    <row r="20" spans="2:16" x14ac:dyDescent="0.35">
      <c r="B20" s="62" t="s">
        <v>16</v>
      </c>
      <c r="C20" s="88">
        <f>IF($D$10="Stone Masonry Cement Mortar 1F",'Stone Masonry Cement Mortar 1F'!C12,0)+IF($D$10="Stone Masonry Mud Mortar 1F",'Stone Masonry Mud Mortar 1F'!C12,0)+IF($D$10="Brick Masonry Cement Mortar 1F",'Brick Masonry Cement Mortar 1F'!C12,0)+IF($D$10="Brick Masonry Mud Mortar 1F",'Brick Masonry Mud Mortar 1F'!C12,0)+IF($D$10="CSEB 1F",'CSEB 1F'!C12,0)+IF($D$10="Earth Bag 1F",'Earth Bag 1F'!C12,0)+IF($D$10="Stone Masonry Cement Mortar 2F",'Stone Masonry Cement Mortar 2F'!C12,0)+IF($D$10="Brick Masonry Cement Mortar 2F",'Brick Masonry Cement Mortar 2F'!C12,0)+IF($D$10="Hollow Concrete Block 2F",'Hollow Concrete Block 2F'!C12,0)+IF($D$10="CSEB 2F",'CSEB 2F'!C12,0)+IF($D$10="Timber Structure 2F",'Timber Structure 2F'!C12,0)+IF($D$10="Bamboo Stone Hybrid 2F",'Bamboo Stone Hybrid 2F'!C12,0)</f>
        <v>24000</v>
      </c>
      <c r="D20" s="89">
        <f>'Material GHG'!C11</f>
        <v>8.9999999999999993E-3</v>
      </c>
      <c r="E20" s="47">
        <f t="shared" ref="E20:E35" si="0">C20*D20</f>
        <v>215.99999999999997</v>
      </c>
      <c r="F20" s="47">
        <f t="shared" ref="F20:F35" si="1">E20/$D$11</f>
        <v>5.2331920048455478</v>
      </c>
      <c r="G20" s="45"/>
      <c r="H20" s="45"/>
      <c r="I20" s="62" t="s">
        <v>16</v>
      </c>
      <c r="J20" s="69"/>
      <c r="K20" s="89">
        <f>'Material GHG'!C11</f>
        <v>8.9999999999999993E-3</v>
      </c>
      <c r="L20" s="47">
        <f t="shared" ref="L20:L35" si="2">J20*K20</f>
        <v>0</v>
      </c>
      <c r="M20" s="47">
        <f t="shared" ref="M20:M35" si="3">L20/$K$11</f>
        <v>0</v>
      </c>
      <c r="N20" s="45"/>
      <c r="O20" s="37"/>
      <c r="P20" s="45"/>
    </row>
    <row r="21" spans="2:16" x14ac:dyDescent="0.35">
      <c r="B21" s="62" t="s">
        <v>50</v>
      </c>
      <c r="C21" s="88">
        <f>IF($D$10="Stone Masonry Cement Mortar 1F",'Stone Masonry Cement Mortar 1F'!C13,0)+IF($D$10="Stone Masonry Mud Mortar 1F",'Stone Masonry Mud Mortar 1F'!C13,0)+IF($D$10="Brick Masonry Cement Mortar 1F",'Brick Masonry Cement Mortar 1F'!C13,0)+IF($D$10="Brick Masonry Mud Mortar 1F",'Brick Masonry Mud Mortar 1F'!C13,0)+IF($D$10="CSEB 1F",'CSEB 1F'!C13,0)+IF($D$10="Earth Bag 1F",'Earth Bag 1F'!C13,0)+IF($D$10="Stone Masonry Cement Mortar 2F",'Stone Masonry Cement Mortar 2F'!C13,0)+IF($D$10="Brick Masonry Cement Mortar 2F",'Brick Masonry Cement Mortar 2F'!C13,0)+IF($D$10="Hollow Concrete Block 2F",'Hollow Concrete Block 2F'!C13,0)+IF($D$10="CSEB 2F",'CSEB 2F'!C13,0)+IF($D$10="Timber Structure 2F",'Timber Structure 2F'!C13,0)+IF($D$10="Bamboo Stone Hybrid 2F",'Bamboo Stone Hybrid 2F'!C13,0)</f>
        <v>14400</v>
      </c>
      <c r="D21" s="89">
        <f>'Material GHG'!C12</f>
        <v>8.9999999999999993E-3</v>
      </c>
      <c r="E21" s="47">
        <f t="shared" si="0"/>
        <v>129.6</v>
      </c>
      <c r="F21" s="47">
        <f t="shared" si="1"/>
        <v>3.139915202907329</v>
      </c>
      <c r="G21" s="45"/>
      <c r="H21" s="45"/>
      <c r="I21" s="62" t="s">
        <v>50</v>
      </c>
      <c r="J21" s="69"/>
      <c r="K21" s="89">
        <f>'Material GHG'!C12</f>
        <v>8.9999999999999993E-3</v>
      </c>
      <c r="L21" s="47">
        <f t="shared" si="2"/>
        <v>0</v>
      </c>
      <c r="M21" s="47">
        <f t="shared" si="3"/>
        <v>0</v>
      </c>
      <c r="N21" s="45"/>
      <c r="O21" s="37"/>
      <c r="P21" s="45"/>
    </row>
    <row r="22" spans="2:16" x14ac:dyDescent="0.35">
      <c r="B22" s="62" t="s">
        <v>24</v>
      </c>
      <c r="C22" s="88">
        <f>IF($D$10="Stone Masonry Cement Mortar 1F",'Stone Masonry Cement Mortar 1F'!C14,0)+IF($D$10="Stone Masonry Mud Mortar 1F",'Stone Masonry Mud Mortar 1F'!C14,0)+IF($D$10="Brick Masonry Cement Mortar 1F",'Brick Masonry Cement Mortar 1F'!C14,0)+IF($D$10="Brick Masonry Mud Mortar 1F",'Brick Masonry Mud Mortar 1F'!C14,0)+IF($D$10="CSEB 1F",'CSEB 1F'!C14,0)+IF($D$10="Earth Bag 1F",'Earth Bag 1F'!C14,0)+IF($D$10="Stone Masonry Cement Mortar 2F",'Stone Masonry Cement Mortar 2F'!C14,0)+IF($D$10="Brick Masonry Cement Mortar 2F",'Brick Masonry Cement Mortar 2F'!C14,0)+IF($D$10="Hollow Concrete Block 2F",'Hollow Concrete Block 2F'!C14,0)+IF($D$10="CSEB 2F",'CSEB 2F'!C14,0)+IF($D$10="Timber Structure 2F",'Timber Structure 2F'!C14,0)+IF($D$10="Bamboo Stone Hybrid 2F",'Bamboo Stone Hybrid 2F'!C14,0)</f>
        <v>460</v>
      </c>
      <c r="D22" s="89">
        <f>'Material GHG'!C13</f>
        <v>2.9</v>
      </c>
      <c r="E22" s="47">
        <f t="shared" si="0"/>
        <v>1334</v>
      </c>
      <c r="F22" s="47">
        <f t="shared" si="1"/>
        <v>32.319806178073897</v>
      </c>
      <c r="G22" s="45"/>
      <c r="H22" s="45"/>
      <c r="I22" s="62" t="s">
        <v>24</v>
      </c>
      <c r="J22" s="69"/>
      <c r="K22" s="89">
        <f>'Material GHG'!C13</f>
        <v>2.9</v>
      </c>
      <c r="L22" s="47">
        <f t="shared" si="2"/>
        <v>0</v>
      </c>
      <c r="M22" s="47">
        <f t="shared" si="3"/>
        <v>0</v>
      </c>
      <c r="N22" s="45"/>
      <c r="O22" s="37"/>
      <c r="P22" s="45"/>
    </row>
    <row r="23" spans="2:16" x14ac:dyDescent="0.35">
      <c r="B23" s="62" t="s">
        <v>74</v>
      </c>
      <c r="C23" s="88">
        <f>IF($D$10="Stone Masonry Cement Mortar 1F",'Stone Masonry Cement Mortar 1F'!C15,0)+IF($D$10="Stone Masonry Mud Mortar 1F",'Stone Masonry Mud Mortar 1F'!C15,0)+IF($D$10="Brick Masonry Cement Mortar 1F",'Brick Masonry Cement Mortar 1F'!C15,0)+IF($D$10="Brick Masonry Mud Mortar 1F",'Brick Masonry Mud Mortar 1F'!C15,0)+IF($D$10="CSEB 1F",'CSEB 1F'!C15,0)+IF($D$10="Earth Bag 1F",'Earth Bag 1F'!C15,0)+IF($D$10="Stone Masonry Cement Mortar 2F",'Stone Masonry Cement Mortar 2F'!C15,0)+IF($D$10="Brick Masonry Cement Mortar 2F",'Brick Masonry Cement Mortar 2F'!C15,0)+IF($D$10="Hollow Concrete Block 2F",'Hollow Concrete Block 2F'!C15,0)+IF($D$10="CSEB 2F",'CSEB 2F'!C15,0)+IF($D$10="Timber Structure 2F",'Timber Structure 2F'!C15,0)+IF($D$10="Bamboo Stone Hybrid 2F",'Bamboo Stone Hybrid 2F'!C15,0)</f>
        <v>66751.001856000003</v>
      </c>
      <c r="D23" s="89">
        <f>'Material GHG'!C14</f>
        <v>0.33482812499999998</v>
      </c>
      <c r="E23" s="47">
        <f t="shared" si="0"/>
        <v>22350.112793315999</v>
      </c>
      <c r="F23" s="47">
        <f t="shared" si="1"/>
        <v>541.49273878415499</v>
      </c>
      <c r="G23" s="45"/>
      <c r="H23" s="45"/>
      <c r="I23" s="62" t="s">
        <v>74</v>
      </c>
      <c r="J23" s="69"/>
      <c r="K23" s="89">
        <f>'Material GHG'!C14</f>
        <v>0.33482812499999998</v>
      </c>
      <c r="L23" s="47">
        <f t="shared" si="2"/>
        <v>0</v>
      </c>
      <c r="M23" s="47">
        <f t="shared" si="3"/>
        <v>0</v>
      </c>
      <c r="N23" s="37"/>
      <c r="O23" s="37"/>
      <c r="P23" s="37"/>
    </row>
    <row r="24" spans="2:16" x14ac:dyDescent="0.35">
      <c r="B24" s="62" t="s">
        <v>82</v>
      </c>
      <c r="C24" s="88">
        <f>IF($D$10="Stone Masonry Cement Mortar 1F",'Stone Masonry Cement Mortar 1F'!C16,0)+IF($D$10="Stone Masonry Mud Mortar 1F",'Stone Masonry Mud Mortar 1F'!C16,0)+IF($D$10="Brick Masonry Cement Mortar 1F",'Brick Masonry Cement Mortar 1F'!C16,0)+IF($D$10="Brick Masonry Mud Mortar 1F",'Brick Masonry Mud Mortar 1F'!C16,0)+IF($D$10="CSEB 1F",'CSEB 1F'!C16,0)+IF($D$10="Earth Bag 1F",'Earth Bag 1F'!C16,0)+IF($D$10="Stone Masonry Cement Mortar 2F",'Stone Masonry Cement Mortar 2F'!C16,0)+IF($D$10="Brick Masonry Cement Mortar 2F",'Brick Masonry Cement Mortar 2F'!C16,0)+IF($D$10="Hollow Concrete Block 2F",'Hollow Concrete Block 2F'!C16,0)+IF($D$10="CSEB 2F",'CSEB 2F'!C16,0)+IF($D$10="Timber Structure 2F",'Timber Structure 2F'!C16,0)+IF($D$10="Bamboo Stone Hybrid 2F",'Bamboo Stone Hybrid 2F'!C16,0)</f>
        <v>0</v>
      </c>
      <c r="D24" s="89">
        <f>'Material GHG'!C15</f>
        <v>4.9487640449438201E-2</v>
      </c>
      <c r="E24" s="47">
        <f t="shared" si="0"/>
        <v>0</v>
      </c>
      <c r="F24" s="47">
        <f t="shared" si="1"/>
        <v>0</v>
      </c>
      <c r="G24" s="37"/>
      <c r="H24" s="37"/>
      <c r="I24" s="62" t="s">
        <v>82</v>
      </c>
      <c r="J24" s="69"/>
      <c r="K24" s="89">
        <f>'Material GHG'!C15</f>
        <v>4.9487640449438201E-2</v>
      </c>
      <c r="L24" s="47">
        <f t="shared" si="2"/>
        <v>0</v>
      </c>
      <c r="M24" s="47">
        <f t="shared" si="3"/>
        <v>0</v>
      </c>
      <c r="N24" s="44"/>
      <c r="O24" s="26"/>
      <c r="P24" s="44"/>
    </row>
    <row r="25" spans="2:16" x14ac:dyDescent="0.35">
      <c r="B25" s="62" t="s">
        <v>52</v>
      </c>
      <c r="C25" s="88">
        <f>IF($D$10="Stone Masonry Cement Mortar 1F",'Stone Masonry Cement Mortar 1F'!C17,0)+IF($D$10="Stone Masonry Mud Mortar 1F",'Stone Masonry Mud Mortar 1F'!C17,0)+IF($D$10="Brick Masonry Cement Mortar 1F",'Brick Masonry Cement Mortar 1F'!C17,0)+IF($D$10="Brick Masonry Mud Mortar 1F",'Brick Masonry Mud Mortar 1F'!C17,0)+IF($D$10="CSEB 1F",'CSEB 1F'!C17,0)+IF($D$10="Earth Bag 1F",'Earth Bag 1F'!C17,0)+IF($D$10="Stone Masonry Cement Mortar 2F",'Stone Masonry Cement Mortar 2F'!C17,0)+IF($D$10="Brick Masonry Cement Mortar 2F",'Brick Masonry Cement Mortar 2F'!C17,0)+IF($D$10="Hollow Concrete Block 2F",'Hollow Concrete Block 2F'!C17,0)+IF($D$10="CSEB 2F",'CSEB 2F'!C17,0)+IF($D$10="Timber Structure 2F",'Timber Structure 2F'!C17,0)+IF($D$10="Bamboo Stone Hybrid 2F",'Bamboo Stone Hybrid 2F'!C17,0)</f>
        <v>1793.3</v>
      </c>
      <c r="D25" s="89">
        <f>'Material GHG'!C16</f>
        <v>-1.3</v>
      </c>
      <c r="E25" s="47">
        <f t="shared" si="0"/>
        <v>-2331.29</v>
      </c>
      <c r="F25" s="47">
        <f t="shared" si="1"/>
        <v>-56.481889763779527</v>
      </c>
      <c r="G25" s="37"/>
      <c r="H25" s="37"/>
      <c r="I25" s="62" t="s">
        <v>52</v>
      </c>
      <c r="J25" s="69"/>
      <c r="K25" s="89">
        <f>'Material GHG'!C16</f>
        <v>-1.3</v>
      </c>
      <c r="L25" s="47">
        <f t="shared" si="2"/>
        <v>0</v>
      </c>
      <c r="M25" s="47">
        <f t="shared" si="3"/>
        <v>0</v>
      </c>
      <c r="N25" s="45"/>
      <c r="O25" s="37"/>
      <c r="P25" s="45"/>
    </row>
    <row r="26" spans="2:16" x14ac:dyDescent="0.35">
      <c r="B26" s="64" t="s">
        <v>92</v>
      </c>
      <c r="C26" s="88">
        <f>IF($D$10="Stone Masonry Cement Mortar 1F",'Stone Masonry Cement Mortar 1F'!C18,0)+IF($D$10="Stone Masonry Mud Mortar 1F",'Stone Masonry Mud Mortar 1F'!C18,0)+IF($D$10="Brick Masonry Cement Mortar 1F",'Brick Masonry Cement Mortar 1F'!C18,0)+IF($D$10="Brick Masonry Mud Mortar 1F",'Brick Masonry Mud Mortar 1F'!C18,0)+IF($D$10="CSEB 1F",'CSEB 1F'!C18,0)+IF($D$10="Earth Bag 1F",'Earth Bag 1F'!C18,0)+IF($D$10="Stone Masonry Cement Mortar 2F",'Stone Masonry Cement Mortar 2F'!C18,0)+IF($D$10="Brick Masonry Cement Mortar 2F",'Brick Masonry Cement Mortar 2F'!C18,0)+IF($D$10="Hollow Concrete Block 2F",'Hollow Concrete Block 2F'!C18,0)+IF($D$10="CSEB 2F",'CSEB 2F'!C18,0)+IF($D$10="Timber Structure 2F",'Timber Structure 2F'!C18,0)+IF($D$10="Bamboo Stone Hybrid 2F",'Bamboo Stone Hybrid 2F'!C18,0)</f>
        <v>0</v>
      </c>
      <c r="D26" s="89">
        <f>'Material GHG'!C17</f>
        <v>-7.2999999999999995E-2</v>
      </c>
      <c r="E26" s="47">
        <f t="shared" si="0"/>
        <v>0</v>
      </c>
      <c r="F26" s="47">
        <f t="shared" si="1"/>
        <v>0</v>
      </c>
      <c r="G26" s="37"/>
      <c r="H26" s="37"/>
      <c r="I26" s="64" t="s">
        <v>92</v>
      </c>
      <c r="J26" s="69"/>
      <c r="K26" s="89">
        <f>'Material GHG'!C17</f>
        <v>-7.2999999999999995E-2</v>
      </c>
      <c r="L26" s="47">
        <f t="shared" si="2"/>
        <v>0</v>
      </c>
      <c r="M26" s="47">
        <f t="shared" si="3"/>
        <v>0</v>
      </c>
      <c r="N26" s="45"/>
      <c r="O26" s="37"/>
      <c r="P26" s="45"/>
    </row>
    <row r="27" spans="2:16" x14ac:dyDescent="0.35">
      <c r="B27" s="64" t="s">
        <v>51</v>
      </c>
      <c r="C27" s="88">
        <f>IF($D$10="Stone Masonry Cement Mortar 1F",'Stone Masonry Cement Mortar 1F'!C19,0)+IF($D$10="Stone Masonry Mud Mortar 1F",'Stone Masonry Mud Mortar 1F'!C19,0)+IF($D$10="Brick Masonry Cement Mortar 1F",'Brick Masonry Cement Mortar 1F'!C19,0)+IF($D$10="Brick Masonry Mud Mortar 1F",'Brick Masonry Mud Mortar 1F'!C19,0)+IF($D$10="CSEB 1F",'CSEB 1F'!C19,0)+IF($D$10="Earth Bag 1F",'Earth Bag 1F'!C19,0)+IF($D$10="Stone Masonry Cement Mortar 2F",'Stone Masonry Cement Mortar 2F'!C19,0)+IF($D$10="Brick Masonry Cement Mortar 2F",'Brick Masonry Cement Mortar 2F'!C19,0)+IF($D$10="Hollow Concrete Block 2F",'Hollow Concrete Block 2F'!C19,0)+IF($D$10="CSEB 2F",'CSEB 2F'!C19,0)+IF($D$10="Timber Structure 2F",'Timber Structure 2F'!C19,0)+IF($D$10="Bamboo Stone Hybrid 2F",'Bamboo Stone Hybrid 2F'!C19,0)</f>
        <v>0</v>
      </c>
      <c r="D27" s="89">
        <f>'Material GHG'!C18</f>
        <v>0</v>
      </c>
      <c r="E27" s="47">
        <f t="shared" si="0"/>
        <v>0</v>
      </c>
      <c r="F27" s="47">
        <f t="shared" si="1"/>
        <v>0</v>
      </c>
      <c r="G27" s="37"/>
      <c r="H27" s="37"/>
      <c r="I27" s="64" t="s">
        <v>51</v>
      </c>
      <c r="J27" s="69"/>
      <c r="K27" s="89">
        <f>'Material GHG'!C18</f>
        <v>0</v>
      </c>
      <c r="L27" s="47">
        <f t="shared" si="2"/>
        <v>0</v>
      </c>
      <c r="M27" s="47">
        <f t="shared" si="3"/>
        <v>0</v>
      </c>
      <c r="N27" s="45"/>
      <c r="O27" s="37"/>
      <c r="P27" s="45"/>
    </row>
    <row r="28" spans="2:16" x14ac:dyDescent="0.35">
      <c r="B28" s="64" t="s">
        <v>104</v>
      </c>
      <c r="C28" s="88">
        <f>IF($D$10="Stone Masonry Cement Mortar 1F",'Stone Masonry Cement Mortar 1F'!C20,0)+IF($D$10="Stone Masonry Mud Mortar 1F",'Stone Masonry Mud Mortar 1F'!C20,0)+IF($D$10="Brick Masonry Cement Mortar 1F",'Brick Masonry Cement Mortar 1F'!C20,0)+IF($D$10="Brick Masonry Mud Mortar 1F",'Brick Masonry Mud Mortar 1F'!C20,0)+IF($D$10="CSEB 1F",'CSEB 1F'!C20,0)+IF($D$10="Earth Bag 1F",'Earth Bag 1F'!C20,0)+IF($D$10="Stone Masonry Cement Mortar 2F",'Stone Masonry Cement Mortar 2F'!C20,0)+IF($D$10="Brick Masonry Cement Mortar 2F",'Brick Masonry Cement Mortar 2F'!C20,0)+IF($D$10="Hollow Concrete Block 2F",'Hollow Concrete Block 2F'!C20,0)+IF($D$10="CSEB 2F",'CSEB 2F'!C20,0)+IF($D$10="Timber Structure 2F",'Timber Structure 2F'!C20,0)+IF($D$10="Bamboo Stone Hybrid 2F",'Bamboo Stone Hybrid 2F'!C20,0)</f>
        <v>0</v>
      </c>
      <c r="D28" s="89">
        <f>'Material GHG'!C19</f>
        <v>0</v>
      </c>
      <c r="E28" s="47">
        <f t="shared" si="0"/>
        <v>0</v>
      </c>
      <c r="F28" s="47">
        <f t="shared" si="1"/>
        <v>0</v>
      </c>
      <c r="G28" s="37"/>
      <c r="H28" s="37"/>
      <c r="I28" s="64" t="s">
        <v>104</v>
      </c>
      <c r="J28" s="69"/>
      <c r="K28" s="89">
        <f>'Material GHG'!C19</f>
        <v>0</v>
      </c>
      <c r="L28" s="47">
        <f t="shared" si="2"/>
        <v>0</v>
      </c>
      <c r="M28" s="47">
        <f t="shared" si="3"/>
        <v>0</v>
      </c>
      <c r="N28" s="45"/>
      <c r="O28" s="37"/>
      <c r="P28" s="45"/>
    </row>
    <row r="29" spans="2:16" x14ac:dyDescent="0.35">
      <c r="B29" s="62" t="s">
        <v>70</v>
      </c>
      <c r="C29" s="88">
        <f>IF($D$10="Stone Masonry Cement Mortar 1F",'Stone Masonry Cement Mortar 1F'!C21,0)+IF($D$10="Stone Masonry Mud Mortar 1F",'Stone Masonry Mud Mortar 1F'!C21,0)+IF($D$10="Brick Masonry Cement Mortar 1F",'Brick Masonry Cement Mortar 1F'!C21,0)+IF($D$10="Brick Masonry Mud Mortar 1F",'Brick Masonry Mud Mortar 1F'!C21,0)+IF($D$10="CSEB 1F",'CSEB 1F'!C21,0)+IF($D$10="Earth Bag 1F",'Earth Bag 1F'!C21,0)+IF($D$10="Stone Masonry Cement Mortar 2F",'Stone Masonry Cement Mortar 2F'!C21,0)+IF($D$10="Brick Masonry Cement Mortar 2F",'Brick Masonry Cement Mortar 2F'!C21,0)+IF($D$10="Hollow Concrete Block 2F",'Hollow Concrete Block 2F'!C21,0)+IF($D$10="CSEB 2F",'CSEB 2F'!C21,0)+IF($D$10="Timber Structure 2F",'Timber Structure 2F'!C21,0)+IF($D$10="Bamboo Stone Hybrid 2F",'Bamboo Stone Hybrid 2F'!C21,0)</f>
        <v>259.05</v>
      </c>
      <c r="D29" s="89">
        <f>'Material GHG'!C20</f>
        <v>3</v>
      </c>
      <c r="E29" s="47">
        <f t="shared" si="0"/>
        <v>777.15000000000009</v>
      </c>
      <c r="F29" s="47">
        <f t="shared" si="1"/>
        <v>18.828588734100549</v>
      </c>
      <c r="G29" s="37"/>
      <c r="H29" s="37"/>
      <c r="I29" s="62" t="s">
        <v>70</v>
      </c>
      <c r="J29" s="69"/>
      <c r="K29" s="89">
        <f>'Material GHG'!C20</f>
        <v>3</v>
      </c>
      <c r="L29" s="47">
        <f t="shared" si="2"/>
        <v>0</v>
      </c>
      <c r="M29" s="47">
        <f t="shared" si="3"/>
        <v>0</v>
      </c>
      <c r="N29" s="45"/>
      <c r="O29" s="37"/>
      <c r="P29" s="45"/>
    </row>
    <row r="30" spans="2:16" x14ac:dyDescent="0.35">
      <c r="B30" s="62" t="s">
        <v>95</v>
      </c>
      <c r="C30" s="88">
        <f>IF($D$10="Stone Masonry Cement Mortar 1F",'Stone Masonry Cement Mortar 1F'!C22,0)+IF($D$10="Stone Masonry Mud Mortar 1F",'Stone Masonry Mud Mortar 1F'!C22,0)+IF($D$10="Brick Masonry Cement Mortar 1F",'Brick Masonry Cement Mortar 1F'!C22,0)+IF($D$10="Brick Masonry Mud Mortar 1F",'Brick Masonry Mud Mortar 1F'!C22,0)+IF($D$10="CSEB 1F",'CSEB 1F'!C22,0)+IF($D$10="Earth Bag 1F",'Earth Bag 1F'!C22,0)+IF($D$10="Stone Masonry Cement Mortar 2F",'Stone Masonry Cement Mortar 2F'!C22,0)+IF($D$10="Brick Masonry Cement Mortar 2F",'Brick Masonry Cement Mortar 2F'!C22,0)+IF($D$10="Hollow Concrete Block 2F",'Hollow Concrete Block 2F'!C22,0)+IF($D$10="CSEB 2F",'CSEB 2F'!C22,0)+IF($D$10="Timber Structure 2F",'Timber Structure 2F'!C22,0)+IF($D$10="Bamboo Stone Hybrid 2F",'Bamboo Stone Hybrid 2F'!C22,0)</f>
        <v>0</v>
      </c>
      <c r="D30" s="89">
        <f>'Material GHG'!C21</f>
        <v>3</v>
      </c>
      <c r="E30" s="47">
        <f t="shared" si="0"/>
        <v>0</v>
      </c>
      <c r="F30" s="47">
        <f t="shared" si="1"/>
        <v>0</v>
      </c>
      <c r="G30" s="37"/>
      <c r="H30" s="37"/>
      <c r="I30" s="62" t="s">
        <v>95</v>
      </c>
      <c r="J30" s="69"/>
      <c r="K30" s="89">
        <f>'Material GHG'!C21</f>
        <v>3</v>
      </c>
      <c r="L30" s="47">
        <f t="shared" si="2"/>
        <v>0</v>
      </c>
      <c r="M30" s="47">
        <f t="shared" si="3"/>
        <v>0</v>
      </c>
      <c r="N30" s="45"/>
      <c r="O30" s="37"/>
      <c r="P30" s="45"/>
    </row>
    <row r="31" spans="2:16" x14ac:dyDescent="0.35">
      <c r="B31" s="62" t="s">
        <v>101</v>
      </c>
      <c r="C31" s="88">
        <f>IF($D$10="Stone Masonry Cement Mortar 1F",'Stone Masonry Cement Mortar 1F'!C23,0)+IF($D$10="Stone Masonry Mud Mortar 1F",'Stone Masonry Mud Mortar 1F'!C23,0)+IF($D$10="Brick Masonry Cement Mortar 1F",'Brick Masonry Cement Mortar 1F'!C23,0)+IF($D$10="Brick Masonry Mud Mortar 1F",'Brick Masonry Mud Mortar 1F'!C23,0)+IF($D$10="CSEB 1F",'CSEB 1F'!C23,0)+IF($D$10="Earth Bag 1F",'Earth Bag 1F'!C23,0)+IF($D$10="Stone Masonry Cement Mortar 2F",'Stone Masonry Cement Mortar 2F'!C23,0)+IF($D$10="Brick Masonry Cement Mortar 2F",'Brick Masonry Cement Mortar 2F'!C23,0)+IF($D$10="Hollow Concrete Block 2F",'Hollow Concrete Block 2F'!C23,0)+IF($D$10="CSEB 2F",'CSEB 2F'!C23,0)+IF($D$10="Timber Structure 2F",'Timber Structure 2F'!C23,0)+IF($D$10="Bamboo Stone Hybrid 2F",'Bamboo Stone Hybrid 2F'!C23,0)</f>
        <v>0</v>
      </c>
      <c r="D31" s="89">
        <f>'Material GHG'!C22</f>
        <v>0</v>
      </c>
      <c r="E31" s="47">
        <f t="shared" si="0"/>
        <v>0</v>
      </c>
      <c r="F31" s="47">
        <f t="shared" si="1"/>
        <v>0</v>
      </c>
      <c r="G31" s="37"/>
      <c r="H31" s="37"/>
      <c r="I31" s="62" t="s">
        <v>101</v>
      </c>
      <c r="J31" s="69"/>
      <c r="K31" s="89">
        <f>'Material GHG'!C22</f>
        <v>0</v>
      </c>
      <c r="L31" s="47">
        <f t="shared" si="2"/>
        <v>0</v>
      </c>
      <c r="M31" s="47">
        <f t="shared" si="3"/>
        <v>0</v>
      </c>
      <c r="N31" s="45"/>
      <c r="O31" s="37"/>
      <c r="P31" s="45"/>
    </row>
    <row r="32" spans="2:16" x14ac:dyDescent="0.35">
      <c r="B32" s="62" t="s">
        <v>146</v>
      </c>
      <c r="C32" s="88">
        <f>IF($D$10="Stone Masonry Cement Mortar 1F",'Stone Masonry Cement Mortar 1F'!C24,0)+IF($D$10="Stone Masonry Mud Mortar 1F",'Stone Masonry Mud Mortar 1F'!C24,0)+IF($D$10="Brick Masonry Cement Mortar 1F",'Brick Masonry Cement Mortar 1F'!C24,0)+IF($D$10="Brick Masonry Mud Mortar 1F",'Brick Masonry Mud Mortar 1F'!C24,0)+IF($D$10="CSEB 1F",'CSEB 1F'!C24,0)+IF($D$10="Earth Bag 1F",'Earth Bag 1F'!C24,0)+IF($D$10="Stone Masonry Cement Mortar 2F",'Stone Masonry Cement Mortar 2F'!C24,0)+IF($D$10="Brick Masonry Cement Mortar 2F",'Brick Masonry Cement Mortar 2F'!C24,0)+IF($D$10="Hollow Concrete Block 2F",'Hollow Concrete Block 2F'!C24,0)+IF($D$10="CSEB 2F",'CSEB 2F'!C24,0)+IF($D$10="Timber Structure 2F",'Timber Structure 2F'!C24,0)+IF($D$10="Bamboo Stone Hybrid 2F",'Bamboo Stone Hybrid 2F'!C24,0)</f>
        <v>0</v>
      </c>
      <c r="D32" s="89">
        <f>'Material GHG'!C23</f>
        <v>2.9</v>
      </c>
      <c r="E32" s="47">
        <f t="shared" si="0"/>
        <v>0</v>
      </c>
      <c r="F32" s="47">
        <f t="shared" si="1"/>
        <v>0</v>
      </c>
      <c r="G32" s="37"/>
      <c r="H32" s="37"/>
      <c r="I32" s="62" t="s">
        <v>146</v>
      </c>
      <c r="J32" s="69"/>
      <c r="K32" s="89">
        <f>'Material GHG'!C23</f>
        <v>2.9</v>
      </c>
      <c r="L32" s="47">
        <f t="shared" si="2"/>
        <v>0</v>
      </c>
      <c r="M32" s="47">
        <f t="shared" si="3"/>
        <v>0</v>
      </c>
      <c r="N32" s="45"/>
      <c r="O32" s="37"/>
      <c r="P32" s="45"/>
    </row>
    <row r="33" spans="2:16" x14ac:dyDescent="0.35">
      <c r="B33" s="62" t="s">
        <v>149</v>
      </c>
      <c r="C33" s="88">
        <f>IF($D$10="Stone Masonry Cement Mortar 1F",'Stone Masonry Cement Mortar 1F'!C25,0)+IF($D$10="Stone Masonry Mud Mortar 1F",'Stone Masonry Mud Mortar 1F'!C25,0)+IF($D$10="Brick Masonry Cement Mortar 1F",'Brick Masonry Cement Mortar 1F'!C25,0)+IF($D$10="Brick Masonry Mud Mortar 1F",'Brick Masonry Mud Mortar 1F'!C25,0)+IF($D$10="CSEB 1F",'CSEB 1F'!C25,0)+IF($D$10="Earth Bag 1F",'Earth Bag 1F'!C25,0)+IF($D$10="Stone Masonry Cement Mortar 2F",'Stone Masonry Cement Mortar 2F'!C25,0)+IF($D$10="Brick Masonry Cement Mortar 2F",'Brick Masonry Cement Mortar 2F'!C25,0)+IF($D$10="Hollow Concrete Block 2F",'Hollow Concrete Block 2F'!C25,0)+IF($D$10="CSEB 2F",'CSEB 2F'!C25,0)+IF($D$10="Timber Structure 2F",'Timber Structure 2F'!C25,0)+IF($D$10="Bamboo Stone Hybrid 2F",'Bamboo Stone Hybrid 2F'!C25,0)</f>
        <v>0</v>
      </c>
      <c r="D33" s="89">
        <f>'Material GHG'!C24</f>
        <v>0.28999999999999998</v>
      </c>
      <c r="E33" s="47">
        <f t="shared" si="0"/>
        <v>0</v>
      </c>
      <c r="F33" s="47">
        <f t="shared" si="1"/>
        <v>0</v>
      </c>
      <c r="G33" s="37"/>
      <c r="H33" s="37"/>
      <c r="I33" s="62" t="s">
        <v>149</v>
      </c>
      <c r="J33" s="69"/>
      <c r="K33" s="89">
        <f>'Material GHG'!C24</f>
        <v>0.28999999999999998</v>
      </c>
      <c r="L33" s="47">
        <f t="shared" si="2"/>
        <v>0</v>
      </c>
      <c r="M33" s="47">
        <f t="shared" si="3"/>
        <v>0</v>
      </c>
      <c r="N33" s="45"/>
      <c r="O33" s="37"/>
      <c r="P33" s="45"/>
    </row>
    <row r="34" spans="2:16" x14ac:dyDescent="0.35">
      <c r="B34" s="62" t="s">
        <v>120</v>
      </c>
      <c r="C34" s="88">
        <f>IF($D$10="Stone Masonry Cement Mortar 1F",'Stone Masonry Cement Mortar 1F'!C26,0)+IF($D$10="Stone Masonry Mud Mortar 1F",'Stone Masonry Mud Mortar 1F'!C26,0)+IF($D$10="Brick Masonry Cement Mortar 1F",'Brick Masonry Cement Mortar 1F'!C26,0)+IF($D$10="Brick Masonry Mud Mortar 1F",'Brick Masonry Mud Mortar 1F'!C26,0)+IF($D$10="CSEB 1F",'CSEB 1F'!C26,0)+IF($D$10="Earth Bag 1F",'Earth Bag 1F'!C26,0)+IF($D$10="Stone Masonry Cement Mortar 2F",'Stone Masonry Cement Mortar 2F'!C26,0)+IF($D$10="Brick Masonry Cement Mortar 2F",'Brick Masonry Cement Mortar 2F'!C26,0)+IF($D$10="Hollow Concrete Block 2F",'Hollow Concrete Block 2F'!C26,0)+IF($D$10="CSEB 2F",'CSEB 2F'!C26,0)+IF($D$10="Timber Structure 2F",'Timber Structure 2F'!C26,0)+IF($D$10="Bamboo Stone Hybrid 2F",'Bamboo Stone Hybrid 2F'!C26,0)</f>
        <v>0</v>
      </c>
      <c r="D34" s="89">
        <f>'Material GHG'!C25</f>
        <v>7.2500000000000009E-2</v>
      </c>
      <c r="E34" s="47">
        <f t="shared" si="0"/>
        <v>0</v>
      </c>
      <c r="F34" s="47">
        <f t="shared" si="1"/>
        <v>0</v>
      </c>
      <c r="G34" s="37"/>
      <c r="H34" s="37"/>
      <c r="I34" s="62" t="s">
        <v>120</v>
      </c>
      <c r="J34" s="69"/>
      <c r="K34" s="89">
        <f>'Material GHG'!C25</f>
        <v>7.2500000000000009E-2</v>
      </c>
      <c r="L34" s="47">
        <f t="shared" si="2"/>
        <v>0</v>
      </c>
      <c r="M34" s="47">
        <f t="shared" si="3"/>
        <v>0</v>
      </c>
      <c r="N34" s="45"/>
      <c r="O34" s="37"/>
      <c r="P34" s="45"/>
    </row>
    <row r="35" spans="2:16" x14ac:dyDescent="0.35">
      <c r="B35" s="62" t="s">
        <v>93</v>
      </c>
      <c r="C35" s="88">
        <f>IF($D$10="Stone Masonry Cement Mortar 1F",'Stone Masonry Cement Mortar 1F'!C27,0)+IF($D$10="Stone Masonry Mud Mortar 1F",'Stone Masonry Mud Mortar 1F'!C27,0)+IF($D$10="Brick Masonry Cement Mortar 1F",'Brick Masonry Cement Mortar 1F'!C27,0)+IF($D$10="Brick Masonry Mud Mortar 1F",'Brick Masonry Mud Mortar 1F'!C27,0)+IF($D$10="CSEB 1F",'CSEB 1F'!C27,0)+IF($D$10="Earth Bag 1F",'Earth Bag 1F'!C27,0)+IF($D$10="Stone Masonry Cement Mortar 2F",'Stone Masonry Cement Mortar 2F'!C27,0)+IF($D$10="Brick Masonry Cement Mortar 2F",'Brick Masonry Cement Mortar 2F'!C27,0)+IF($D$10="Hollow Concrete Block 2F",'Hollow Concrete Block 2F'!C27,0)+IF($D$10="CSEB 2F",'CSEB 2F'!C27,0)+IF($D$10="Timber Structure 2F",'Timber Structure 2F'!C27,0)+IF($D$10="Bamboo Stone Hybrid 2F",'Bamboo Stone Hybrid 2F'!C27,0)</f>
        <v>0</v>
      </c>
      <c r="D35" s="89">
        <f>'Material GHG'!C26</f>
        <v>0</v>
      </c>
      <c r="E35" s="47">
        <f t="shared" si="0"/>
        <v>0</v>
      </c>
      <c r="F35" s="47">
        <f t="shared" si="1"/>
        <v>0</v>
      </c>
      <c r="G35" s="37"/>
      <c r="H35" s="37"/>
      <c r="I35" s="62" t="s">
        <v>93</v>
      </c>
      <c r="J35" s="69"/>
      <c r="K35" s="89">
        <f>'Material GHG'!C26</f>
        <v>0</v>
      </c>
      <c r="L35" s="47">
        <f t="shared" si="2"/>
        <v>0</v>
      </c>
      <c r="M35" s="47">
        <f t="shared" si="3"/>
        <v>0</v>
      </c>
      <c r="N35" s="45"/>
      <c r="O35" s="37"/>
      <c r="P35" s="45"/>
    </row>
    <row r="36" spans="2:16" x14ac:dyDescent="0.35">
      <c r="B36" s="93" t="s">
        <v>217</v>
      </c>
      <c r="C36" s="93"/>
      <c r="D36" s="93"/>
      <c r="E36" s="49">
        <f>SUM(E19:E35)</f>
        <v>28254.072793316001</v>
      </c>
      <c r="F36" s="48">
        <f>SUM(F19:F35)</f>
        <v>684.53235114030269</v>
      </c>
      <c r="G36" s="37"/>
      <c r="H36" s="37"/>
      <c r="I36" s="93" t="s">
        <v>122</v>
      </c>
      <c r="J36" s="93"/>
      <c r="K36" s="93"/>
      <c r="L36" s="49">
        <f>SUM(L19:L35)</f>
        <v>0</v>
      </c>
      <c r="M36" s="48">
        <f>SUM(M19:M35)</f>
        <v>0</v>
      </c>
    </row>
    <row r="37" spans="2:16" x14ac:dyDescent="0.35">
      <c r="B37" s="98"/>
      <c r="C37" s="98"/>
      <c r="D37" s="98"/>
      <c r="E37" s="98"/>
      <c r="F37" s="46"/>
      <c r="G37" s="37"/>
      <c r="H37" s="37"/>
      <c r="I37" s="37"/>
      <c r="J37" s="37"/>
      <c r="K37" s="37"/>
      <c r="L37" s="37"/>
      <c r="M37" s="37"/>
    </row>
    <row r="39" spans="2:16" x14ac:dyDescent="0.35">
      <c r="B39" s="24" t="s">
        <v>246</v>
      </c>
      <c r="I39" s="24" t="s">
        <v>247</v>
      </c>
    </row>
    <row r="40" spans="2:16" ht="60" x14ac:dyDescent="0.35">
      <c r="B40" s="144" t="s">
        <v>66</v>
      </c>
      <c r="C40" s="144" t="s">
        <v>244</v>
      </c>
      <c r="D40" s="144" t="s">
        <v>243</v>
      </c>
      <c r="E40" s="144" t="s">
        <v>18</v>
      </c>
      <c r="F40" s="144" t="s">
        <v>245</v>
      </c>
      <c r="G40" s="5" t="s">
        <v>68</v>
      </c>
      <c r="I40" s="144" t="s">
        <v>66</v>
      </c>
      <c r="J40" s="144" t="s">
        <v>244</v>
      </c>
      <c r="K40" s="144" t="s">
        <v>243</v>
      </c>
      <c r="L40" s="144" t="s">
        <v>18</v>
      </c>
      <c r="M40" s="144" t="s">
        <v>245</v>
      </c>
      <c r="N40" s="5" t="s">
        <v>68</v>
      </c>
    </row>
    <row r="41" spans="2:16" x14ac:dyDescent="0.35">
      <c r="B41" s="119" t="s">
        <v>17</v>
      </c>
      <c r="C41" s="123">
        <v>600</v>
      </c>
      <c r="D41" s="102">
        <f>ROUNDUP(C19/C41,0)</f>
        <v>11</v>
      </c>
      <c r="E41" s="118" t="s">
        <v>19</v>
      </c>
      <c r="F41" s="118">
        <v>20</v>
      </c>
      <c r="G41" s="3">
        <f>IF('Building GHG Emissions'!E41="Truck",'Transport GHG '!$C$22*'Building GHG Emissions'!F41*D41,0)+IF('Building GHG Emissions'!E41="Car",'Transport GHG '!$C$23*'Building GHG Emissions'!F41*D41,0)+IF('Building GHG Emissions'!E41="Donkey",'Transport GHG '!$C$24*'Building GHG Emissions'!F41*D41,0)+IF('Building GHG Emissions'!E41="Helicopter",'Transport GHG '!$C$25*'Building GHG Emissions'!F41*D41,0)</f>
        <v>88.440000000000012</v>
      </c>
      <c r="I41" s="119" t="s">
        <v>17</v>
      </c>
      <c r="J41" s="123"/>
      <c r="K41" s="102" t="e">
        <f>ROUNDUP(J19/J41,0)</f>
        <v>#DIV/0!</v>
      </c>
      <c r="L41" s="118"/>
      <c r="M41" s="118"/>
      <c r="N41" s="3">
        <f>IF('Building GHG Emissions'!L41="Truck",'Transport GHG '!$C$22*'Building GHG Emissions'!M41*K41,0)+IF('Building GHG Emissions'!L41="Car",'Transport GHG '!$C$23*'Building GHG Emissions'!M41*K41,0)+IF('Building GHG Emissions'!L41="Donkey",'Transport GHG '!$C$24*'Building GHG Emissions'!M41*K41,0)+IF('Building GHG Emissions'!L41="Helicopter",'Transport GHG '!$C$25*'Building GHG Emissions'!M41*K41,0)</f>
        <v>0</v>
      </c>
    </row>
    <row r="42" spans="2:16" x14ac:dyDescent="0.35">
      <c r="B42" s="119" t="s">
        <v>16</v>
      </c>
      <c r="C42" s="123"/>
      <c r="D42" s="102" t="e">
        <f t="shared" ref="D42:D57" si="4">ROUNDUP(C20/C42,0)</f>
        <v>#DIV/0!</v>
      </c>
      <c r="E42" s="118"/>
      <c r="F42" s="118">
        <v>1</v>
      </c>
      <c r="G42" s="3">
        <f>IF('Building GHG Emissions'!E42="Truck",'Transport GHG '!$C$22*'Building GHG Emissions'!F42,0)+IF('Building GHG Emissions'!E42="Car",'Transport GHG '!$C$23*'Building GHG Emissions'!F42,0)+IF('Building GHG Emissions'!E42="Donkey",'Transport GHG '!$C$24*'Building GHG Emissions'!F42,0)+IF('Building GHG Emissions'!E42="Helicopter",'Transport GHG '!$C$25*'Building GHG Emissions'!F42)</f>
        <v>0</v>
      </c>
      <c r="I42" s="119" t="s">
        <v>16</v>
      </c>
      <c r="J42" s="123"/>
      <c r="K42" s="102" t="e">
        <f t="shared" ref="K42:K57" si="5">ROUNDUP(J20/J42,0)</f>
        <v>#DIV/0!</v>
      </c>
      <c r="L42" s="118"/>
      <c r="M42" s="118"/>
      <c r="N42" s="3">
        <f>IF('Building GHG Emissions'!L42="Truck",'Transport GHG '!$C$22*'Building GHG Emissions'!M42,0)+IF('Building GHG Emissions'!L42="Car",'Transport GHG '!$C$23*'Building GHG Emissions'!M42,0)+IF('Building GHG Emissions'!L42="Donkey",'Transport GHG '!$C$24*'Building GHG Emissions'!M42,0)+IF('Building GHG Emissions'!L42="Helicopter",'Transport GHG '!$C$25*'Building GHG Emissions'!M42)</f>
        <v>0</v>
      </c>
    </row>
    <row r="43" spans="2:16" x14ac:dyDescent="0.35">
      <c r="B43" s="119" t="s">
        <v>50</v>
      </c>
      <c r="C43" s="123"/>
      <c r="D43" s="102" t="e">
        <f t="shared" si="4"/>
        <v>#DIV/0!</v>
      </c>
      <c r="E43" s="118"/>
      <c r="F43" s="118">
        <v>1</v>
      </c>
      <c r="G43" s="3">
        <f>IF('Building GHG Emissions'!E43="Truck",'Transport GHG '!$C$22*'Building GHG Emissions'!F43,0)+IF('Building GHG Emissions'!E43="Car",'Transport GHG '!$C$23*'Building GHG Emissions'!F43,0)+IF('Building GHG Emissions'!E43="Donkey",'Transport GHG '!$C$24*'Building GHG Emissions'!F43,0)+IF('Building GHG Emissions'!E43="Helicopter",'Transport GHG '!$C$25*'Building GHG Emissions'!F43)</f>
        <v>0</v>
      </c>
      <c r="I43" s="119" t="s">
        <v>50</v>
      </c>
      <c r="J43" s="123"/>
      <c r="K43" s="102" t="e">
        <f t="shared" si="5"/>
        <v>#DIV/0!</v>
      </c>
      <c r="L43" s="118"/>
      <c r="M43" s="118"/>
      <c r="N43" s="3">
        <f>IF('Building GHG Emissions'!L43="Truck",'Transport GHG '!$C$22*'Building GHG Emissions'!M43,0)+IF('Building GHG Emissions'!L43="Car",'Transport GHG '!$C$23*'Building GHG Emissions'!M43,0)+IF('Building GHG Emissions'!L43="Donkey",'Transport GHG '!$C$24*'Building GHG Emissions'!M43,0)+IF('Building GHG Emissions'!L43="Helicopter",'Transport GHG '!$C$25*'Building GHG Emissions'!M43)</f>
        <v>0</v>
      </c>
    </row>
    <row r="44" spans="2:16" x14ac:dyDescent="0.35">
      <c r="B44" s="119" t="s">
        <v>24</v>
      </c>
      <c r="C44" s="123"/>
      <c r="D44" s="102" t="e">
        <f t="shared" si="4"/>
        <v>#DIV/0!</v>
      </c>
      <c r="E44" s="118"/>
      <c r="F44" s="118">
        <v>1</v>
      </c>
      <c r="G44" s="3">
        <f>IF('Building GHG Emissions'!E44="Truck",'Transport GHG '!$C$22*'Building GHG Emissions'!F44,0)+IF('Building GHG Emissions'!E44="Car",'Transport GHG '!$C$23*'Building GHG Emissions'!F44,0)+IF('Building GHG Emissions'!E44="Donkey",'Transport GHG '!$C$24*'Building GHG Emissions'!F44,0)+IF('Building GHG Emissions'!E44="Helicopter",'Transport GHG '!$C$25*'Building GHG Emissions'!F44)</f>
        <v>0</v>
      </c>
      <c r="I44" s="119" t="s">
        <v>24</v>
      </c>
      <c r="J44" s="123"/>
      <c r="K44" s="102" t="e">
        <f t="shared" si="5"/>
        <v>#DIV/0!</v>
      </c>
      <c r="L44" s="118"/>
      <c r="M44" s="118"/>
      <c r="N44" s="3">
        <f>IF('Building GHG Emissions'!L44="Truck",'Transport GHG '!$C$22*'Building GHG Emissions'!M44,0)+IF('Building GHG Emissions'!L44="Car",'Transport GHG '!$C$23*'Building GHG Emissions'!M44,0)+IF('Building GHG Emissions'!L44="Donkey",'Transport GHG '!$C$24*'Building GHG Emissions'!M44,0)+IF('Building GHG Emissions'!L44="Helicopter",'Transport GHG '!$C$25*'Building GHG Emissions'!M44)</f>
        <v>0</v>
      </c>
    </row>
    <row r="45" spans="2:16" x14ac:dyDescent="0.35">
      <c r="B45" s="119" t="s">
        <v>74</v>
      </c>
      <c r="C45" s="123"/>
      <c r="D45" s="102" t="e">
        <f t="shared" si="4"/>
        <v>#DIV/0!</v>
      </c>
      <c r="E45" s="118"/>
      <c r="F45" s="118"/>
      <c r="G45" s="3">
        <f>IF('Building GHG Emissions'!E45="Truck",'Transport GHG '!$C$22*'Building GHG Emissions'!F45,0)+IF('Building GHG Emissions'!E45="Car",'Transport GHG '!$C$23*'Building GHG Emissions'!F45,0)+IF('Building GHG Emissions'!E45="Donkey",'Transport GHG '!$C$24*'Building GHG Emissions'!F45,0)+IF('Building GHG Emissions'!E45="Helicopter",'Transport GHG '!$C$25*'Building GHG Emissions'!F45)</f>
        <v>0</v>
      </c>
      <c r="I45" s="119" t="s">
        <v>74</v>
      </c>
      <c r="J45" s="123"/>
      <c r="K45" s="102" t="e">
        <f t="shared" si="5"/>
        <v>#DIV/0!</v>
      </c>
      <c r="L45" s="118"/>
      <c r="M45" s="118"/>
      <c r="N45" s="3">
        <f>IF('Building GHG Emissions'!L45="Truck",'Transport GHG '!$C$22*'Building GHG Emissions'!M45,0)+IF('Building GHG Emissions'!L45="Car",'Transport GHG '!$C$23*'Building GHG Emissions'!M45,0)+IF('Building GHG Emissions'!L45="Donkey",'Transport GHG '!$C$24*'Building GHG Emissions'!M45,0)+IF('Building GHG Emissions'!L45="Helicopter",'Transport GHG '!$C$25*'Building GHG Emissions'!M45)</f>
        <v>0</v>
      </c>
    </row>
    <row r="46" spans="2:16" x14ac:dyDescent="0.35">
      <c r="B46" s="119" t="s">
        <v>82</v>
      </c>
      <c r="C46" s="123"/>
      <c r="D46" s="102" t="e">
        <f t="shared" si="4"/>
        <v>#DIV/0!</v>
      </c>
      <c r="E46" s="118"/>
      <c r="F46" s="118"/>
      <c r="G46" s="3">
        <f>IF('Building GHG Emissions'!E46="Truck",'Transport GHG '!$C$22*'Building GHG Emissions'!F46,0)+IF('Building GHG Emissions'!E46="Car",'Transport GHG '!$C$23*'Building GHG Emissions'!F46,0)+IF('Building GHG Emissions'!E46="Donkey",'Transport GHG '!$C$24*'Building GHG Emissions'!F46,0)+IF('Building GHG Emissions'!E46="Helicopter",'Transport GHG '!$C$25*'Building GHG Emissions'!F46)</f>
        <v>0</v>
      </c>
      <c r="I46" s="119" t="s">
        <v>82</v>
      </c>
      <c r="J46" s="123"/>
      <c r="K46" s="102" t="e">
        <f t="shared" si="5"/>
        <v>#DIV/0!</v>
      </c>
      <c r="L46" s="118"/>
      <c r="M46" s="118"/>
      <c r="N46" s="3">
        <f>IF('Building GHG Emissions'!L46="Truck",'Transport GHG '!$C$22*'Building GHG Emissions'!M46,0)+IF('Building GHG Emissions'!L46="Car",'Transport GHG '!$C$23*'Building GHG Emissions'!M46,0)+IF('Building GHG Emissions'!L46="Donkey",'Transport GHG '!$C$24*'Building GHG Emissions'!M46,0)+IF('Building GHG Emissions'!L46="Helicopter",'Transport GHG '!$C$25*'Building GHG Emissions'!M46)</f>
        <v>0</v>
      </c>
    </row>
    <row r="47" spans="2:16" x14ac:dyDescent="0.35">
      <c r="B47" s="119" t="s">
        <v>52</v>
      </c>
      <c r="C47" s="123"/>
      <c r="D47" s="102" t="e">
        <f t="shared" si="4"/>
        <v>#DIV/0!</v>
      </c>
      <c r="E47" s="118"/>
      <c r="F47" s="118"/>
      <c r="G47" s="3">
        <f>IF('Building GHG Emissions'!E47="Truck",'Transport GHG '!$C$22*'Building GHG Emissions'!F47,0)+IF('Building GHG Emissions'!E47="Car",'Transport GHG '!$C$23*'Building GHG Emissions'!F47,0)+IF('Building GHG Emissions'!E47="Donkey",'Transport GHG '!$C$24*'Building GHG Emissions'!F47,0)+IF('Building GHG Emissions'!E47="Helicopter",'Transport GHG '!$C$25*'Building GHG Emissions'!F47)</f>
        <v>0</v>
      </c>
      <c r="I47" s="119" t="s">
        <v>52</v>
      </c>
      <c r="J47" s="123"/>
      <c r="K47" s="102" t="e">
        <f t="shared" si="5"/>
        <v>#DIV/0!</v>
      </c>
      <c r="L47" s="118"/>
      <c r="M47" s="118"/>
      <c r="N47" s="3">
        <f>IF('Building GHG Emissions'!L47="Truck",'Transport GHG '!$C$22*'Building GHG Emissions'!M47,0)+IF('Building GHG Emissions'!L47="Car",'Transport GHG '!$C$23*'Building GHG Emissions'!M47,0)+IF('Building GHG Emissions'!L47="Donkey",'Transport GHG '!$C$24*'Building GHG Emissions'!M47,0)+IF('Building GHG Emissions'!L47="Helicopter",'Transport GHG '!$C$25*'Building GHG Emissions'!M47)</f>
        <v>0</v>
      </c>
    </row>
    <row r="48" spans="2:16" x14ac:dyDescent="0.35">
      <c r="B48" s="120" t="s">
        <v>92</v>
      </c>
      <c r="C48" s="123"/>
      <c r="D48" s="102" t="e">
        <f t="shared" si="4"/>
        <v>#DIV/0!</v>
      </c>
      <c r="E48" s="118"/>
      <c r="F48" s="118"/>
      <c r="G48" s="3">
        <f>IF('Building GHG Emissions'!E48="Truck",'Transport GHG '!$C$22*'Building GHG Emissions'!F48,0)+IF('Building GHG Emissions'!E48="Car",'Transport GHG '!$C$23*'Building GHG Emissions'!F48,0)+IF('Building GHG Emissions'!E48="Donkey",'Transport GHG '!$C$24*'Building GHG Emissions'!F48,0)+IF('Building GHG Emissions'!E48="Helicopter",'Transport GHG '!$C$25*'Building GHG Emissions'!F48)</f>
        <v>0</v>
      </c>
      <c r="I48" s="120" t="s">
        <v>92</v>
      </c>
      <c r="J48" s="123"/>
      <c r="K48" s="102" t="e">
        <f t="shared" si="5"/>
        <v>#DIV/0!</v>
      </c>
      <c r="L48" s="118"/>
      <c r="M48" s="118"/>
      <c r="N48" s="3">
        <f>IF('Building GHG Emissions'!L48="Truck",'Transport GHG '!$C$22*'Building GHG Emissions'!M48,0)+IF('Building GHG Emissions'!L48="Car",'Transport GHG '!$C$23*'Building GHG Emissions'!M48,0)+IF('Building GHG Emissions'!L48="Donkey",'Transport GHG '!$C$24*'Building GHG Emissions'!M48,0)+IF('Building GHG Emissions'!L48="Helicopter",'Transport GHG '!$C$25*'Building GHG Emissions'!M48)</f>
        <v>0</v>
      </c>
    </row>
    <row r="49" spans="2:14" x14ac:dyDescent="0.35">
      <c r="B49" s="120" t="s">
        <v>51</v>
      </c>
      <c r="C49" s="123"/>
      <c r="D49" s="102" t="e">
        <f t="shared" si="4"/>
        <v>#DIV/0!</v>
      </c>
      <c r="E49" s="118"/>
      <c r="F49" s="118"/>
      <c r="G49" s="3">
        <f>IF('Building GHG Emissions'!E49="Truck",'Transport GHG '!$C$22*'Building GHG Emissions'!F49,0)+IF('Building GHG Emissions'!E49="Car",'Transport GHG '!$C$23*'Building GHG Emissions'!F49,0)+IF('Building GHG Emissions'!E49="Donkey",'Transport GHG '!$C$24*'Building GHG Emissions'!F49,0)+IF('Building GHG Emissions'!E49="Helicopter",'Transport GHG '!$C$25*'Building GHG Emissions'!F49)</f>
        <v>0</v>
      </c>
      <c r="I49" s="120" t="s">
        <v>51</v>
      </c>
      <c r="J49" s="123"/>
      <c r="K49" s="102" t="e">
        <f t="shared" si="5"/>
        <v>#DIV/0!</v>
      </c>
      <c r="L49" s="118"/>
      <c r="M49" s="118"/>
      <c r="N49" s="3">
        <f>IF('Building GHG Emissions'!L49="Truck",'Transport GHG '!$C$22*'Building GHG Emissions'!M49,0)+IF('Building GHG Emissions'!L49="Car",'Transport GHG '!$C$23*'Building GHG Emissions'!M49,0)+IF('Building GHG Emissions'!L49="Donkey",'Transport GHG '!$C$24*'Building GHG Emissions'!M49,0)+IF('Building GHG Emissions'!L49="Helicopter",'Transport GHG '!$C$25*'Building GHG Emissions'!M49)</f>
        <v>0</v>
      </c>
    </row>
    <row r="50" spans="2:14" x14ac:dyDescent="0.35">
      <c r="B50" s="120" t="s">
        <v>104</v>
      </c>
      <c r="C50" s="123"/>
      <c r="D50" s="102" t="e">
        <f t="shared" si="4"/>
        <v>#DIV/0!</v>
      </c>
      <c r="E50" s="118"/>
      <c r="F50" s="118"/>
      <c r="G50" s="3">
        <f>IF('Building GHG Emissions'!E50="Truck",'Transport GHG '!$C$22*'Building GHG Emissions'!F50,0)+IF('Building GHG Emissions'!E50="Car",'Transport GHG '!$C$23*'Building GHG Emissions'!F50,0)+IF('Building GHG Emissions'!E50="Donkey",'Transport GHG '!$C$24*'Building GHG Emissions'!F50,0)+IF('Building GHG Emissions'!E50="Helicopter",'Transport GHG '!$C$25*'Building GHG Emissions'!F50)</f>
        <v>0</v>
      </c>
      <c r="I50" s="120" t="s">
        <v>104</v>
      </c>
      <c r="J50" s="123"/>
      <c r="K50" s="102" t="e">
        <f t="shared" si="5"/>
        <v>#DIV/0!</v>
      </c>
      <c r="L50" s="118"/>
      <c r="M50" s="118"/>
      <c r="N50" s="3">
        <f>IF('Building GHG Emissions'!L50="Truck",'Transport GHG '!$C$22*'Building GHG Emissions'!M50,0)+IF('Building GHG Emissions'!L50="Car",'Transport GHG '!$C$23*'Building GHG Emissions'!M50,0)+IF('Building GHG Emissions'!L50="Donkey",'Transport GHG '!$C$24*'Building GHG Emissions'!M50,0)+IF('Building GHG Emissions'!L50="Helicopter",'Transport GHG '!$C$25*'Building GHG Emissions'!M50)</f>
        <v>0</v>
      </c>
    </row>
    <row r="51" spans="2:14" x14ac:dyDescent="0.35">
      <c r="B51" s="119" t="s">
        <v>70</v>
      </c>
      <c r="C51" s="123"/>
      <c r="D51" s="102" t="e">
        <f t="shared" si="4"/>
        <v>#DIV/0!</v>
      </c>
      <c r="E51" s="118"/>
      <c r="F51" s="118"/>
      <c r="G51" s="3">
        <f>IF('Building GHG Emissions'!E51="Truck",'Transport GHG '!$C$22*'Building GHG Emissions'!F51,0)+IF('Building GHG Emissions'!E51="Car",'Transport GHG '!$C$23*'Building GHG Emissions'!F51,0)+IF('Building GHG Emissions'!E51="Donkey",'Transport GHG '!$C$24*'Building GHG Emissions'!F51,0)+IF('Building GHG Emissions'!E51="Helicopter",'Transport GHG '!$C$25*'Building GHG Emissions'!F51)</f>
        <v>0</v>
      </c>
      <c r="I51" s="119" t="s">
        <v>70</v>
      </c>
      <c r="J51" s="123"/>
      <c r="K51" s="102" t="e">
        <f t="shared" si="5"/>
        <v>#DIV/0!</v>
      </c>
      <c r="L51" s="118"/>
      <c r="M51" s="118"/>
      <c r="N51" s="3">
        <f>IF('Building GHG Emissions'!L51="Truck",'Transport GHG '!$C$22*'Building GHG Emissions'!M51,0)+IF('Building GHG Emissions'!L51="Car",'Transport GHG '!$C$23*'Building GHG Emissions'!M51,0)+IF('Building GHG Emissions'!L51="Donkey",'Transport GHG '!$C$24*'Building GHG Emissions'!M51,0)+IF('Building GHG Emissions'!L51="Helicopter",'Transport GHG '!$C$25*'Building GHG Emissions'!M51)</f>
        <v>0</v>
      </c>
    </row>
    <row r="52" spans="2:14" x14ac:dyDescent="0.35">
      <c r="B52" s="119" t="s">
        <v>95</v>
      </c>
      <c r="C52" s="123"/>
      <c r="D52" s="102" t="e">
        <f t="shared" si="4"/>
        <v>#DIV/0!</v>
      </c>
      <c r="E52" s="118"/>
      <c r="F52" s="118"/>
      <c r="G52" s="3">
        <f>IF('Building GHG Emissions'!E52="Truck",'Transport GHG '!$C$22*'Building GHG Emissions'!F52,0)+IF('Building GHG Emissions'!E52="Car",'Transport GHG '!$C$23*'Building GHG Emissions'!F52,0)+IF('Building GHG Emissions'!E52="Donkey",'Transport GHG '!$C$24*'Building GHG Emissions'!F52,0)+IF('Building GHG Emissions'!E52="Helicopter",'Transport GHG '!$C$25*'Building GHG Emissions'!F52)</f>
        <v>0</v>
      </c>
      <c r="I52" s="119" t="s">
        <v>95</v>
      </c>
      <c r="J52" s="123"/>
      <c r="K52" s="102" t="e">
        <f t="shared" si="5"/>
        <v>#DIV/0!</v>
      </c>
      <c r="L52" s="118"/>
      <c r="M52" s="118"/>
      <c r="N52" s="3">
        <f>IF('Building GHG Emissions'!L52="Truck",'Transport GHG '!$C$22*'Building GHG Emissions'!M52,0)+IF('Building GHG Emissions'!L52="Car",'Transport GHG '!$C$23*'Building GHG Emissions'!M52,0)+IF('Building GHG Emissions'!L52="Donkey",'Transport GHG '!$C$24*'Building GHG Emissions'!M52,0)+IF('Building GHG Emissions'!L52="Helicopter",'Transport GHG '!$C$25*'Building GHG Emissions'!M52)</f>
        <v>0</v>
      </c>
    </row>
    <row r="53" spans="2:14" x14ac:dyDescent="0.35">
      <c r="B53" s="119" t="s">
        <v>101</v>
      </c>
      <c r="C53" s="123"/>
      <c r="D53" s="102" t="e">
        <f t="shared" si="4"/>
        <v>#DIV/0!</v>
      </c>
      <c r="E53" s="118"/>
      <c r="F53" s="118"/>
      <c r="G53" s="3">
        <f>IF('Building GHG Emissions'!E53="Truck",'Transport GHG '!$C$22*'Building GHG Emissions'!F53,0)+IF('Building GHG Emissions'!E53="Car",'Transport GHG '!$C$23*'Building GHG Emissions'!F53,0)+IF('Building GHG Emissions'!E53="Donkey",'Transport GHG '!$C$24*'Building GHG Emissions'!F53,0)+IF('Building GHG Emissions'!E53="Helicopter",'Transport GHG '!$C$25*'Building GHG Emissions'!F53)</f>
        <v>0</v>
      </c>
      <c r="I53" s="119" t="s">
        <v>101</v>
      </c>
      <c r="J53" s="123"/>
      <c r="K53" s="102" t="e">
        <f t="shared" si="5"/>
        <v>#DIV/0!</v>
      </c>
      <c r="L53" s="118"/>
      <c r="M53" s="118"/>
      <c r="N53" s="3">
        <f>IF('Building GHG Emissions'!L53="Truck",'Transport GHG '!$C$22*'Building GHG Emissions'!M53,0)+IF('Building GHG Emissions'!L53="Car",'Transport GHG '!$C$23*'Building GHG Emissions'!M53,0)+IF('Building GHG Emissions'!L53="Donkey",'Transport GHG '!$C$24*'Building GHG Emissions'!M53,0)+IF('Building GHG Emissions'!L53="Helicopter",'Transport GHG '!$C$25*'Building GHG Emissions'!M53)</f>
        <v>0</v>
      </c>
    </row>
    <row r="54" spans="2:14" x14ac:dyDescent="0.35">
      <c r="B54" s="119" t="s">
        <v>146</v>
      </c>
      <c r="C54" s="123"/>
      <c r="D54" s="102" t="e">
        <f t="shared" si="4"/>
        <v>#DIV/0!</v>
      </c>
      <c r="E54" s="118"/>
      <c r="F54" s="118"/>
      <c r="G54" s="3">
        <f>IF('Building GHG Emissions'!E54="Truck",'Transport GHG '!$C$22*'Building GHG Emissions'!F54,0)+IF('Building GHG Emissions'!E54="Car",'Transport GHG '!$C$23*'Building GHG Emissions'!F54,0)+IF('Building GHG Emissions'!E54="Donkey",'Transport GHG '!$C$24*'Building GHG Emissions'!F54,0)+IF('Building GHG Emissions'!E54="Helicopter",'Transport GHG '!$C$25*'Building GHG Emissions'!F54)</f>
        <v>0</v>
      </c>
      <c r="I54" s="119" t="s">
        <v>146</v>
      </c>
      <c r="J54" s="123"/>
      <c r="K54" s="102" t="e">
        <f t="shared" si="5"/>
        <v>#DIV/0!</v>
      </c>
      <c r="L54" s="118"/>
      <c r="M54" s="118"/>
      <c r="N54" s="3">
        <f>IF('Building GHG Emissions'!L54="Truck",'Transport GHG '!$C$22*'Building GHG Emissions'!M54,0)+IF('Building GHG Emissions'!L54="Car",'Transport GHG '!$C$23*'Building GHG Emissions'!M54,0)+IF('Building GHG Emissions'!L54="Donkey",'Transport GHG '!$C$24*'Building GHG Emissions'!M54,0)+IF('Building GHG Emissions'!L54="Helicopter",'Transport GHG '!$C$25*'Building GHG Emissions'!M54)</f>
        <v>0</v>
      </c>
    </row>
    <row r="55" spans="2:14" x14ac:dyDescent="0.35">
      <c r="B55" s="119" t="s">
        <v>149</v>
      </c>
      <c r="C55" s="123"/>
      <c r="D55" s="102" t="e">
        <f t="shared" si="4"/>
        <v>#DIV/0!</v>
      </c>
      <c r="E55" s="118"/>
      <c r="F55" s="118"/>
      <c r="G55" s="3">
        <f>IF('Building GHG Emissions'!E55="Truck",'Transport GHG '!$C$22*'Building GHG Emissions'!F55,0)+IF('Building GHG Emissions'!E55="Car",'Transport GHG '!$C$23*'Building GHG Emissions'!F55,0)+IF('Building GHG Emissions'!E55="Donkey",'Transport GHG '!$C$24*'Building GHG Emissions'!F55,0)+IF('Building GHG Emissions'!E55="Helicopter",'Transport GHG '!$C$25*'Building GHG Emissions'!F55)</f>
        <v>0</v>
      </c>
      <c r="I55" s="119" t="s">
        <v>149</v>
      </c>
      <c r="J55" s="123"/>
      <c r="K55" s="102" t="e">
        <f t="shared" si="5"/>
        <v>#DIV/0!</v>
      </c>
      <c r="L55" s="118"/>
      <c r="M55" s="118"/>
      <c r="N55" s="3">
        <f>IF('Building GHG Emissions'!L55="Truck",'Transport GHG '!$C$22*'Building GHG Emissions'!M55,0)+IF('Building GHG Emissions'!L55="Car",'Transport GHG '!$C$23*'Building GHG Emissions'!M55,0)+IF('Building GHG Emissions'!L55="Donkey",'Transport GHG '!$C$24*'Building GHG Emissions'!M55,0)+IF('Building GHG Emissions'!L55="Helicopter",'Transport GHG '!$C$25*'Building GHG Emissions'!M55)</f>
        <v>0</v>
      </c>
    </row>
    <row r="56" spans="2:14" x14ac:dyDescent="0.35">
      <c r="B56" s="119" t="s">
        <v>120</v>
      </c>
      <c r="C56" s="123"/>
      <c r="D56" s="102" t="e">
        <f t="shared" si="4"/>
        <v>#DIV/0!</v>
      </c>
      <c r="E56" s="118"/>
      <c r="F56" s="118"/>
      <c r="G56" s="3">
        <f>IF('Building GHG Emissions'!E56="Truck",'Transport GHG '!$C$22*'Building GHG Emissions'!F56,0)+IF('Building GHG Emissions'!E56="Car",'Transport GHG '!$C$23*'Building GHG Emissions'!F56,0)+IF('Building GHG Emissions'!E56="Donkey",'Transport GHG '!$C$24*'Building GHG Emissions'!F56,0)+IF('Building GHG Emissions'!E56="Helicopter",'Transport GHG '!$C$25*'Building GHG Emissions'!F56)</f>
        <v>0</v>
      </c>
      <c r="I56" s="119" t="s">
        <v>120</v>
      </c>
      <c r="J56" s="123"/>
      <c r="K56" s="102" t="e">
        <f t="shared" si="5"/>
        <v>#DIV/0!</v>
      </c>
      <c r="L56" s="118"/>
      <c r="M56" s="118"/>
      <c r="N56" s="3">
        <f>IF('Building GHG Emissions'!L56="Truck",'Transport GHG '!$C$22*'Building GHG Emissions'!M56,0)+IF('Building GHG Emissions'!L56="Car",'Transport GHG '!$C$23*'Building GHG Emissions'!M56,0)+IF('Building GHG Emissions'!L56="Donkey",'Transport GHG '!$C$24*'Building GHG Emissions'!M56,0)+IF('Building GHG Emissions'!L56="Helicopter",'Transport GHG '!$C$25*'Building GHG Emissions'!M56)</f>
        <v>0</v>
      </c>
    </row>
    <row r="57" spans="2:14" x14ac:dyDescent="0.35">
      <c r="B57" s="119" t="s">
        <v>93</v>
      </c>
      <c r="C57" s="123"/>
      <c r="D57" s="102" t="e">
        <f t="shared" si="4"/>
        <v>#DIV/0!</v>
      </c>
      <c r="E57" s="118"/>
      <c r="F57" s="118"/>
      <c r="G57" s="3">
        <f>IF('Building GHG Emissions'!E57="Truck",'Transport GHG '!$C$22*'Building GHG Emissions'!F57,0)+IF('Building GHG Emissions'!E57="Car",'Transport GHG '!$C$23*'Building GHG Emissions'!F57,0)+IF('Building GHG Emissions'!E57="Donkey",'Transport GHG '!$C$24*'Building GHG Emissions'!F57,0)+IF('Building GHG Emissions'!E57="Helicopter",'Transport GHG '!$C$25*'Building GHG Emissions'!F57)</f>
        <v>0</v>
      </c>
      <c r="I57" s="119" t="s">
        <v>93</v>
      </c>
      <c r="J57" s="123"/>
      <c r="K57" s="102" t="e">
        <f t="shared" si="5"/>
        <v>#DIV/0!</v>
      </c>
      <c r="L57" s="118"/>
      <c r="M57" s="118"/>
      <c r="N57" s="3">
        <f>IF('Building GHG Emissions'!L57="Truck",'Transport GHG '!$C$22*'Building GHG Emissions'!M57,0)+IF('Building GHG Emissions'!L57="Car",'Transport GHG '!$C$23*'Building GHG Emissions'!M57,0)+IF('Building GHG Emissions'!L57="Donkey",'Transport GHG '!$C$24*'Building GHG Emissions'!M57,0)+IF('Building GHG Emissions'!L57="Helicopter",'Transport GHG '!$C$25*'Building GHG Emissions'!M57)</f>
        <v>0</v>
      </c>
    </row>
    <row r="58" spans="2:14" x14ac:dyDescent="0.35">
      <c r="B58" s="141" t="s">
        <v>216</v>
      </c>
      <c r="C58" s="142"/>
      <c r="D58" s="142"/>
      <c r="E58" s="142"/>
      <c r="F58" s="143"/>
      <c r="G58" s="29">
        <f>SUM(G41:G57)</f>
        <v>88.440000000000012</v>
      </c>
      <c r="I58" s="141" t="s">
        <v>216</v>
      </c>
      <c r="J58" s="142"/>
      <c r="K58" s="142"/>
      <c r="L58" s="142"/>
      <c r="M58" s="143"/>
      <c r="N58" s="29">
        <f>SUM(N41:N57)</f>
        <v>0</v>
      </c>
    </row>
    <row r="61" spans="2:14" x14ac:dyDescent="0.35">
      <c r="B61" s="121" t="s">
        <v>215</v>
      </c>
      <c r="C61" s="121"/>
      <c r="D61" s="121"/>
      <c r="E61" s="121"/>
    </row>
    <row r="62" spans="2:14" x14ac:dyDescent="0.35">
      <c r="B62" s="94" t="s">
        <v>221</v>
      </c>
      <c r="C62" s="94"/>
      <c r="D62" s="94"/>
      <c r="E62" s="94"/>
    </row>
    <row r="63" spans="2:14" ht="30.5" customHeight="1" x14ac:dyDescent="0.35">
      <c r="B63" s="96" t="s">
        <v>222</v>
      </c>
      <c r="C63" s="96"/>
      <c r="D63" s="96"/>
      <c r="E63" s="96"/>
    </row>
    <row r="64" spans="2:14" x14ac:dyDescent="0.35">
      <c r="B64" s="94" t="s">
        <v>223</v>
      </c>
      <c r="C64" s="94"/>
      <c r="D64" s="94"/>
      <c r="E64" s="94"/>
    </row>
    <row r="65" spans="2:5" ht="31" customHeight="1" x14ac:dyDescent="0.35">
      <c r="B65" s="96" t="s">
        <v>224</v>
      </c>
      <c r="C65" s="96"/>
      <c r="D65" s="96"/>
      <c r="E65" s="96"/>
    </row>
    <row r="66" spans="2:5" ht="30.5" customHeight="1" x14ac:dyDescent="0.35">
      <c r="B66" s="96" t="s">
        <v>226</v>
      </c>
      <c r="C66" s="96"/>
      <c r="D66" s="96"/>
      <c r="E66" s="96"/>
    </row>
  </sheetData>
  <sheetProtection selectLockedCells="1"/>
  <mergeCells count="25">
    <mergeCell ref="I58:M58"/>
    <mergeCell ref="B62:E62"/>
    <mergeCell ref="B63:E63"/>
    <mergeCell ref="B64:E64"/>
    <mergeCell ref="B61:E61"/>
    <mergeCell ref="B65:E65"/>
    <mergeCell ref="B66:E66"/>
    <mergeCell ref="B37:E37"/>
    <mergeCell ref="B58:F58"/>
    <mergeCell ref="B36:D36"/>
    <mergeCell ref="B10:C10"/>
    <mergeCell ref="B14:C14"/>
    <mergeCell ref="B11:C11"/>
    <mergeCell ref="B9:C9"/>
    <mergeCell ref="D9:E9"/>
    <mergeCell ref="D10:E10"/>
    <mergeCell ref="D11:E11"/>
    <mergeCell ref="D14:E14"/>
    <mergeCell ref="I36:K36"/>
    <mergeCell ref="I9:J9"/>
    <mergeCell ref="I10:J10"/>
    <mergeCell ref="I11:J11"/>
    <mergeCell ref="K9:L9"/>
    <mergeCell ref="K10:L10"/>
    <mergeCell ref="K11:L11"/>
  </mergeCells>
  <conditionalFormatting sqref="E53:F57 E41:F48 E50:F51">
    <cfRule type="expression" dxfId="5" priority="4">
      <formula>#REF!="Yes"</formula>
    </cfRule>
  </conditionalFormatting>
  <conditionalFormatting sqref="E52:F52">
    <cfRule type="expression" dxfId="4" priority="10">
      <formula>#REF!="Yes"</formula>
    </cfRule>
  </conditionalFormatting>
  <conditionalFormatting sqref="E49:F49">
    <cfRule type="expression" dxfId="3" priority="11">
      <formula>#REF!="Yes"</formula>
    </cfRule>
  </conditionalFormatting>
  <conditionalFormatting sqref="L53:M57 L41:M48 L50:M51">
    <cfRule type="expression" dxfId="2" priority="1">
      <formula>#REF!="Yes"</formula>
    </cfRule>
  </conditionalFormatting>
  <conditionalFormatting sqref="L52:M52">
    <cfRule type="expression" dxfId="1" priority="2">
      <formula>#REF!="Yes"</formula>
    </cfRule>
  </conditionalFormatting>
  <conditionalFormatting sqref="L49:M49">
    <cfRule type="expression" dxfId="0" priority="3">
      <formula>#REF!="Yes"</formula>
    </cfRule>
  </conditionalFormatting>
  <dataValidations count="3">
    <dataValidation type="list" allowBlank="1" showInputMessage="1" showErrorMessage="1" sqref="E41:E57 L41:L57">
      <formula1>"Truck, Car, Donkey, Helicopter"</formula1>
    </dataValidation>
    <dataValidation type="list" allowBlank="1" showInputMessage="1" showErrorMessage="1" sqref="G19:H19 H21 N20:O20 H23">
      <formula1>"Yes, No"</formula1>
    </dataValidation>
    <dataValidation type="list" allowBlank="1" showInputMessage="1" showErrorMessage="1" sqref="D9">
      <formula1>"1 Floor, 2 Floors"</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'Building Types'!$B$20:$B$25</xm:f>
          </x14:formula1>
          <xm:sqref>D10:E10</xm:sqref>
        </x14:dataValidation>
        <x14:dataValidation type="list" allowBlank="1" showInputMessage="1" showErrorMessage="1">
          <x14:formula1>
            <xm:f>'Building Types'!$D$3:$D$7</xm:f>
          </x14:formula1>
          <xm:sqref>D14:E14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64"/>
  <sheetViews>
    <sheetView topLeftCell="B15" zoomScale="90" zoomScaleNormal="90" workbookViewId="0">
      <selection activeCell="C14" sqref="C14"/>
    </sheetView>
  </sheetViews>
  <sheetFormatPr defaultRowHeight="14.5" x14ac:dyDescent="0.35"/>
  <cols>
    <col min="2" max="2" width="26.1796875" bestFit="1" customWidth="1"/>
    <col min="3" max="3" width="10.81640625" style="71" bestFit="1" customWidth="1"/>
    <col min="4" max="4" width="11" hidden="1" customWidth="1"/>
    <col min="5" max="5" width="51.7265625" customWidth="1"/>
    <col min="6" max="6" width="54" customWidth="1"/>
    <col min="7" max="7" width="115.36328125" bestFit="1" customWidth="1"/>
  </cols>
  <sheetData>
    <row r="2" spans="2:7" ht="18.5" x14ac:dyDescent="0.45">
      <c r="B2" s="55" t="s">
        <v>251</v>
      </c>
    </row>
    <row r="4" spans="2:7" x14ac:dyDescent="0.35">
      <c r="B4" s="24" t="s">
        <v>208</v>
      </c>
    </row>
    <row r="5" spans="2:7" x14ac:dyDescent="0.35">
      <c r="B5" s="109" t="s">
        <v>209</v>
      </c>
      <c r="C5" s="124"/>
    </row>
    <row r="6" spans="2:7" x14ac:dyDescent="0.35">
      <c r="B6" s="109" t="s">
        <v>210</v>
      </c>
      <c r="C6" s="125"/>
    </row>
    <row r="8" spans="2:7" x14ac:dyDescent="0.35">
      <c r="B8" s="24" t="s">
        <v>193</v>
      </c>
    </row>
    <row r="9" spans="2:7" ht="23" customHeight="1" x14ac:dyDescent="0.45">
      <c r="B9" s="40" t="s">
        <v>48</v>
      </c>
      <c r="C9" s="126" t="s">
        <v>49</v>
      </c>
      <c r="D9" s="30" t="s">
        <v>83</v>
      </c>
      <c r="E9" s="40" t="s">
        <v>207</v>
      </c>
      <c r="F9" s="7" t="s">
        <v>81</v>
      </c>
      <c r="G9" s="7" t="s">
        <v>44</v>
      </c>
    </row>
    <row r="10" spans="2:7" ht="14.5" customHeight="1" x14ac:dyDescent="0.35">
      <c r="B10" s="90" t="s">
        <v>17</v>
      </c>
      <c r="C10" s="90">
        <v>0.91</v>
      </c>
      <c r="D10" s="102"/>
      <c r="E10" s="102"/>
      <c r="F10" s="3" t="s">
        <v>227</v>
      </c>
      <c r="G10" s="103" t="s">
        <v>163</v>
      </c>
    </row>
    <row r="11" spans="2:7" ht="29" x14ac:dyDescent="0.35">
      <c r="B11" s="90" t="s">
        <v>16</v>
      </c>
      <c r="C11" s="90">
        <v>8.9999999999999993E-3</v>
      </c>
      <c r="D11" s="102"/>
      <c r="E11" s="102"/>
      <c r="F11" s="122" t="s">
        <v>225</v>
      </c>
      <c r="G11" s="103" t="s">
        <v>163</v>
      </c>
    </row>
    <row r="12" spans="2:7" ht="29" x14ac:dyDescent="0.35">
      <c r="B12" s="90" t="s">
        <v>50</v>
      </c>
      <c r="C12" s="90">
        <v>8.9999999999999993E-3</v>
      </c>
      <c r="D12" s="102"/>
      <c r="E12" s="102"/>
      <c r="F12" s="122" t="s">
        <v>225</v>
      </c>
      <c r="G12" s="103" t="s">
        <v>163</v>
      </c>
    </row>
    <row r="13" spans="2:7" x14ac:dyDescent="0.35">
      <c r="B13" s="90" t="s">
        <v>24</v>
      </c>
      <c r="C13" s="90">
        <v>2.9</v>
      </c>
      <c r="D13" s="102"/>
      <c r="E13" s="102"/>
      <c r="F13" s="3"/>
      <c r="G13" s="103" t="s">
        <v>163</v>
      </c>
    </row>
    <row r="14" spans="2:7" x14ac:dyDescent="0.35">
      <c r="B14" s="104" t="s">
        <v>74</v>
      </c>
      <c r="C14" s="127">
        <f>IF('Building GHG Emissions'!D14="MCBTK",C33,0)+IF('Building GHG Emissions'!D14="Country Fired Brick",'Material GHG'!C32,0)+IF('Building GHG Emissions'!D14="Clamp Kiln",'Material GHG'!C34,0)+IF('Building GHG Emissions'!D14="FCBTK",'Material GHG'!C35,0)+IF('Building GHG Emissions'!D14="VSBK",'Material GHG'!C36,0)</f>
        <v>0.33482812499999998</v>
      </c>
      <c r="D14" s="105"/>
      <c r="E14" s="105" t="s">
        <v>211</v>
      </c>
      <c r="F14" s="106"/>
      <c r="G14" s="106"/>
    </row>
    <row r="15" spans="2:7" ht="109.5" x14ac:dyDescent="0.35">
      <c r="B15" s="111" t="s">
        <v>82</v>
      </c>
      <c r="C15" s="112">
        <f>D15/C44</f>
        <v>4.9487640449438201E-2</v>
      </c>
      <c r="D15" s="113">
        <v>110.11</v>
      </c>
      <c r="E15" s="114" t="s">
        <v>218</v>
      </c>
      <c r="F15" s="117" t="s">
        <v>212</v>
      </c>
      <c r="G15" s="115" t="s">
        <v>214</v>
      </c>
    </row>
    <row r="16" spans="2:7" x14ac:dyDescent="0.35">
      <c r="B16" s="90" t="s">
        <v>52</v>
      </c>
      <c r="C16" s="90">
        <v>-1.3</v>
      </c>
      <c r="D16" s="108"/>
      <c r="E16" s="108"/>
      <c r="F16" s="3" t="s">
        <v>231</v>
      </c>
      <c r="G16" s="103" t="s">
        <v>163</v>
      </c>
    </row>
    <row r="17" spans="2:7" ht="74.5" x14ac:dyDescent="0.35">
      <c r="B17" s="111" t="s">
        <v>92</v>
      </c>
      <c r="C17" s="116">
        <v>-7.2999999999999995E-2</v>
      </c>
      <c r="D17" s="113"/>
      <c r="E17" s="114" t="s">
        <v>220</v>
      </c>
      <c r="F17" s="114" t="s">
        <v>219</v>
      </c>
      <c r="G17" s="115" t="s">
        <v>163</v>
      </c>
    </row>
    <row r="18" spans="2:7" ht="29" x14ac:dyDescent="0.35">
      <c r="B18" s="104" t="s">
        <v>51</v>
      </c>
      <c r="C18" s="104">
        <v>0</v>
      </c>
      <c r="D18" s="105"/>
      <c r="E18" s="105"/>
      <c r="F18" s="110" t="s">
        <v>228</v>
      </c>
      <c r="G18" s="115"/>
    </row>
    <row r="19" spans="2:7" x14ac:dyDescent="0.35">
      <c r="B19" s="39" t="s">
        <v>104</v>
      </c>
      <c r="C19" s="128"/>
      <c r="D19" s="42"/>
      <c r="E19" s="42"/>
      <c r="F19" s="2"/>
      <c r="G19" s="2"/>
    </row>
    <row r="20" spans="2:7" x14ac:dyDescent="0.35">
      <c r="B20" s="90" t="s">
        <v>70</v>
      </c>
      <c r="C20" s="90">
        <v>3</v>
      </c>
      <c r="D20" s="102"/>
      <c r="E20" s="102"/>
      <c r="F20" s="3"/>
      <c r="G20" s="103" t="s">
        <v>163</v>
      </c>
    </row>
    <row r="21" spans="2:7" x14ac:dyDescent="0.35">
      <c r="B21" s="90" t="s">
        <v>95</v>
      </c>
      <c r="C21" s="90">
        <v>3</v>
      </c>
      <c r="D21" s="102"/>
      <c r="E21" s="102"/>
      <c r="F21" s="3"/>
      <c r="G21" s="103" t="s">
        <v>163</v>
      </c>
    </row>
    <row r="22" spans="2:7" x14ac:dyDescent="0.35">
      <c r="B22" s="39" t="s">
        <v>101</v>
      </c>
      <c r="C22" s="128"/>
      <c r="D22" s="42"/>
      <c r="E22" s="42"/>
      <c r="F22" s="2"/>
      <c r="G22" s="2"/>
    </row>
    <row r="23" spans="2:7" x14ac:dyDescent="0.35">
      <c r="B23" s="90" t="s">
        <v>146</v>
      </c>
      <c r="C23" s="90">
        <v>2.9</v>
      </c>
      <c r="D23" s="102"/>
      <c r="E23" s="102"/>
      <c r="F23" s="3"/>
      <c r="G23" s="103" t="s">
        <v>163</v>
      </c>
    </row>
    <row r="24" spans="2:7" x14ac:dyDescent="0.35">
      <c r="B24" s="90" t="s">
        <v>121</v>
      </c>
      <c r="C24" s="90">
        <v>0.28999999999999998</v>
      </c>
      <c r="D24" s="102"/>
      <c r="E24" s="102"/>
      <c r="F24" s="3" t="s">
        <v>206</v>
      </c>
      <c r="G24" s="103" t="s">
        <v>163</v>
      </c>
    </row>
    <row r="25" spans="2:7" ht="60" x14ac:dyDescent="0.35">
      <c r="B25" s="91" t="s">
        <v>120</v>
      </c>
      <c r="C25" s="91">
        <f>0.05*C10+0.01*2.7</f>
        <v>7.2500000000000009E-2</v>
      </c>
      <c r="D25" s="132"/>
      <c r="E25" s="132"/>
      <c r="F25" s="122" t="s">
        <v>230</v>
      </c>
      <c r="G25" s="133" t="s">
        <v>229</v>
      </c>
    </row>
    <row r="26" spans="2:7" ht="29" x14ac:dyDescent="0.35">
      <c r="B26" s="104" t="s">
        <v>93</v>
      </c>
      <c r="C26" s="104">
        <v>0</v>
      </c>
      <c r="D26" s="105"/>
      <c r="E26" s="105"/>
      <c r="F26" s="110" t="s">
        <v>228</v>
      </c>
      <c r="G26" s="115"/>
    </row>
    <row r="27" spans="2:7" x14ac:dyDescent="0.35">
      <c r="B27" s="90" t="s">
        <v>164</v>
      </c>
      <c r="C27" s="90">
        <v>-8.3999999999999995E-3</v>
      </c>
      <c r="D27" s="3"/>
      <c r="E27" s="3"/>
      <c r="F27" s="3"/>
      <c r="G27" s="103" t="s">
        <v>163</v>
      </c>
    </row>
    <row r="28" spans="2:7" x14ac:dyDescent="0.35">
      <c r="B28" s="90" t="s">
        <v>165</v>
      </c>
      <c r="C28" s="90">
        <v>0.69</v>
      </c>
      <c r="D28" s="3"/>
      <c r="E28" s="3"/>
      <c r="F28" s="3"/>
      <c r="G28" s="103" t="s">
        <v>163</v>
      </c>
    </row>
    <row r="29" spans="2:7" x14ac:dyDescent="0.35">
      <c r="B29" s="90" t="s">
        <v>166</v>
      </c>
      <c r="C29" s="90">
        <v>0.43</v>
      </c>
      <c r="D29" s="3"/>
      <c r="E29" s="3"/>
      <c r="F29" s="3"/>
      <c r="G29" s="103" t="s">
        <v>163</v>
      </c>
    </row>
    <row r="31" spans="2:7" ht="17.5" x14ac:dyDescent="0.45">
      <c r="B31" s="40" t="s">
        <v>194</v>
      </c>
      <c r="C31" s="126" t="s">
        <v>49</v>
      </c>
      <c r="D31" s="40" t="s">
        <v>83</v>
      </c>
      <c r="E31" s="40"/>
      <c r="F31" s="7" t="s">
        <v>81</v>
      </c>
      <c r="G31" s="7" t="s">
        <v>44</v>
      </c>
    </row>
    <row r="32" spans="2:7" x14ac:dyDescent="0.35">
      <c r="B32" s="104" t="s">
        <v>85</v>
      </c>
      <c r="C32" s="146">
        <f>D32/C53</f>
        <v>0.33482812499999998</v>
      </c>
      <c r="D32" s="106">
        <v>642.87</v>
      </c>
      <c r="E32" s="106"/>
      <c r="F32" s="106" t="s">
        <v>213</v>
      </c>
      <c r="G32" s="107" t="s">
        <v>84</v>
      </c>
    </row>
    <row r="33" spans="2:7" ht="116" x14ac:dyDescent="0.35">
      <c r="B33" s="111" t="s">
        <v>159</v>
      </c>
      <c r="C33" s="147">
        <f>0.15+0.0044+0.031</f>
        <v>0.18539999999999998</v>
      </c>
      <c r="D33" s="148"/>
      <c r="E33" s="149" t="s">
        <v>259</v>
      </c>
      <c r="F33" s="148" t="s">
        <v>258</v>
      </c>
      <c r="G33" s="150" t="s">
        <v>204</v>
      </c>
    </row>
    <row r="34" spans="2:7" ht="43.5" x14ac:dyDescent="0.35">
      <c r="B34" s="111" t="s">
        <v>160</v>
      </c>
      <c r="C34" s="147">
        <f>0.23+0.044+0.031</f>
        <v>0.30500000000000005</v>
      </c>
      <c r="D34" s="148"/>
      <c r="E34" s="149" t="s">
        <v>260</v>
      </c>
      <c r="F34" s="148" t="s">
        <v>255</v>
      </c>
      <c r="G34" s="150" t="s">
        <v>204</v>
      </c>
    </row>
    <row r="35" spans="2:7" ht="43.5" x14ac:dyDescent="0.35">
      <c r="B35" s="111" t="s">
        <v>161</v>
      </c>
      <c r="C35" s="147">
        <f>0.249/2.03+0.0044+0.031</f>
        <v>0.15806009852216749</v>
      </c>
      <c r="D35" s="148"/>
      <c r="E35" s="149" t="s">
        <v>260</v>
      </c>
      <c r="F35" s="148" t="s">
        <v>256</v>
      </c>
      <c r="G35" s="150" t="s">
        <v>204</v>
      </c>
    </row>
    <row r="36" spans="2:7" ht="43.5" x14ac:dyDescent="0.35">
      <c r="B36" s="111" t="s">
        <v>162</v>
      </c>
      <c r="C36" s="147">
        <f>0.17/2.03+0.0044+0.031</f>
        <v>0.11914384236453203</v>
      </c>
      <c r="D36" s="148"/>
      <c r="E36" s="149" t="s">
        <v>260</v>
      </c>
      <c r="F36" s="148" t="s">
        <v>257</v>
      </c>
      <c r="G36" s="150" t="s">
        <v>204</v>
      </c>
    </row>
    <row r="37" spans="2:7" x14ac:dyDescent="0.35">
      <c r="B37" s="77" t="s">
        <v>147</v>
      </c>
      <c r="C37" s="128"/>
      <c r="D37" s="20">
        <f t="shared" ref="D37" si="0">C37*0.294*500</f>
        <v>0</v>
      </c>
      <c r="E37" s="22"/>
      <c r="F37" s="2"/>
      <c r="G37" s="2"/>
    </row>
    <row r="40" spans="2:7" x14ac:dyDescent="0.35">
      <c r="B40" s="24" t="s">
        <v>195</v>
      </c>
    </row>
    <row r="41" spans="2:7" ht="16.5" x14ac:dyDescent="0.35">
      <c r="B41" s="35" t="s">
        <v>192</v>
      </c>
      <c r="C41" s="129">
        <v>1440</v>
      </c>
      <c r="E41" t="s">
        <v>78</v>
      </c>
      <c r="F41" t="s">
        <v>183</v>
      </c>
    </row>
    <row r="42" spans="2:7" ht="16.5" x14ac:dyDescent="0.35">
      <c r="B42" t="s">
        <v>191</v>
      </c>
      <c r="C42" s="129">
        <v>7850</v>
      </c>
      <c r="E42" t="s">
        <v>78</v>
      </c>
      <c r="F42" t="s">
        <v>183</v>
      </c>
    </row>
    <row r="43" spans="2:7" x14ac:dyDescent="0.35">
      <c r="B43" t="s">
        <v>89</v>
      </c>
      <c r="C43" s="129">
        <v>55</v>
      </c>
      <c r="E43" t="s">
        <v>90</v>
      </c>
      <c r="F43" s="6" t="s">
        <v>91</v>
      </c>
    </row>
    <row r="44" spans="2:7" ht="16.5" x14ac:dyDescent="0.35">
      <c r="B44" t="s">
        <v>113</v>
      </c>
      <c r="C44" s="129">
        <v>2225</v>
      </c>
      <c r="E44" t="s">
        <v>78</v>
      </c>
      <c r="F44" t="s">
        <v>185</v>
      </c>
    </row>
    <row r="45" spans="2:7" ht="16.5" x14ac:dyDescent="0.35">
      <c r="B45" t="s">
        <v>115</v>
      </c>
      <c r="C45" s="129">
        <v>7830</v>
      </c>
      <c r="E45" t="s">
        <v>78</v>
      </c>
      <c r="F45" t="s">
        <v>183</v>
      </c>
    </row>
    <row r="46" spans="2:7" ht="16.5" x14ac:dyDescent="0.35">
      <c r="B46" t="s">
        <v>167</v>
      </c>
      <c r="C46" s="129">
        <v>1600</v>
      </c>
      <c r="E46" t="s">
        <v>78</v>
      </c>
      <c r="F46" t="s">
        <v>183</v>
      </c>
    </row>
    <row r="47" spans="2:7" ht="16.5" x14ac:dyDescent="0.35">
      <c r="B47" t="s">
        <v>168</v>
      </c>
      <c r="C47" s="129">
        <v>673</v>
      </c>
      <c r="E47" t="s">
        <v>78</v>
      </c>
      <c r="F47" t="s">
        <v>185</v>
      </c>
    </row>
    <row r="48" spans="2:7" ht="16.5" x14ac:dyDescent="0.35">
      <c r="B48" t="s">
        <v>169</v>
      </c>
      <c r="C48" s="129">
        <v>1906</v>
      </c>
      <c r="E48" t="s">
        <v>78</v>
      </c>
      <c r="F48" s="6" t="s">
        <v>170</v>
      </c>
    </row>
    <row r="49" spans="2:6" ht="16.5" x14ac:dyDescent="0.35">
      <c r="B49" t="s">
        <v>171</v>
      </c>
      <c r="C49" s="129">
        <v>2691</v>
      </c>
      <c r="E49" t="s">
        <v>78</v>
      </c>
      <c r="F49" t="s">
        <v>86</v>
      </c>
    </row>
    <row r="50" spans="2:6" ht="16.5" x14ac:dyDescent="0.35">
      <c r="B50" t="s">
        <v>173</v>
      </c>
      <c r="C50" s="129">
        <v>790</v>
      </c>
      <c r="E50" t="s">
        <v>78</v>
      </c>
      <c r="F50" s="6" t="s">
        <v>172</v>
      </c>
    </row>
    <row r="51" spans="2:6" ht="16.5" x14ac:dyDescent="0.35">
      <c r="B51" t="s">
        <v>180</v>
      </c>
      <c r="C51" s="129">
        <v>2800</v>
      </c>
      <c r="E51" t="s">
        <v>78</v>
      </c>
      <c r="F51" t="s">
        <v>183</v>
      </c>
    </row>
    <row r="52" spans="2:6" x14ac:dyDescent="0.35">
      <c r="B52" t="s">
        <v>174</v>
      </c>
      <c r="C52" s="71" t="s">
        <v>175</v>
      </c>
      <c r="E52" t="s">
        <v>116</v>
      </c>
      <c r="F52" s="6" t="s">
        <v>176</v>
      </c>
    </row>
    <row r="53" spans="2:6" ht="16.5" x14ac:dyDescent="0.35">
      <c r="B53" t="s">
        <v>182</v>
      </c>
      <c r="C53" s="130">
        <v>1920</v>
      </c>
      <c r="E53" t="s">
        <v>78</v>
      </c>
      <c r="F53" t="s">
        <v>183</v>
      </c>
    </row>
    <row r="54" spans="2:6" ht="16.5" x14ac:dyDescent="0.35">
      <c r="B54" t="s">
        <v>184</v>
      </c>
      <c r="C54" s="129">
        <v>1600</v>
      </c>
      <c r="E54" t="s">
        <v>78</v>
      </c>
      <c r="F54" t="s">
        <v>185</v>
      </c>
    </row>
    <row r="55" spans="2:6" x14ac:dyDescent="0.35">
      <c r="B55" t="s">
        <v>186</v>
      </c>
      <c r="C55" s="71" t="s">
        <v>187</v>
      </c>
      <c r="E55" t="s">
        <v>188</v>
      </c>
      <c r="F55" t="s">
        <v>185</v>
      </c>
    </row>
    <row r="56" spans="2:6" x14ac:dyDescent="0.35">
      <c r="B56" t="s">
        <v>189</v>
      </c>
      <c r="C56" s="131" t="s">
        <v>196</v>
      </c>
      <c r="E56" t="s">
        <v>190</v>
      </c>
      <c r="F56" t="s">
        <v>185</v>
      </c>
    </row>
    <row r="57" spans="2:6" x14ac:dyDescent="0.35">
      <c r="B57" t="s">
        <v>118</v>
      </c>
      <c r="C57" s="71">
        <v>10</v>
      </c>
      <c r="E57" t="s">
        <v>198</v>
      </c>
      <c r="F57" s="6" t="s">
        <v>200</v>
      </c>
    </row>
    <row r="58" spans="2:6" x14ac:dyDescent="0.35">
      <c r="B58" t="s">
        <v>117</v>
      </c>
      <c r="C58" s="71">
        <v>75</v>
      </c>
      <c r="E58" t="s">
        <v>116</v>
      </c>
      <c r="F58" t="s">
        <v>185</v>
      </c>
    </row>
    <row r="59" spans="2:6" x14ac:dyDescent="0.35">
      <c r="B59" t="s">
        <v>199</v>
      </c>
      <c r="C59" s="71">
        <v>10</v>
      </c>
      <c r="E59" t="s">
        <v>116</v>
      </c>
      <c r="F59" s="6" t="s">
        <v>200</v>
      </c>
    </row>
    <row r="60" spans="2:6" ht="16.5" x14ac:dyDescent="0.35">
      <c r="B60" t="s">
        <v>202</v>
      </c>
      <c r="C60" s="130">
        <v>1580</v>
      </c>
      <c r="E60" t="s">
        <v>78</v>
      </c>
      <c r="F60" s="6" t="s">
        <v>203</v>
      </c>
    </row>
    <row r="61" spans="2:6" x14ac:dyDescent="0.35">
      <c r="B61" t="s">
        <v>232</v>
      </c>
      <c r="C61" s="129">
        <v>1000</v>
      </c>
    </row>
    <row r="62" spans="2:6" x14ac:dyDescent="0.35">
      <c r="B62" t="s">
        <v>233</v>
      </c>
      <c r="C62" s="71">
        <v>8</v>
      </c>
      <c r="E62" t="s">
        <v>116</v>
      </c>
    </row>
    <row r="63" spans="2:6" x14ac:dyDescent="0.35">
      <c r="B63" t="s">
        <v>234</v>
      </c>
      <c r="C63" s="71">
        <v>0.35</v>
      </c>
      <c r="E63" t="s">
        <v>116</v>
      </c>
      <c r="F63" s="6" t="s">
        <v>235</v>
      </c>
    </row>
    <row r="64" spans="2:6" x14ac:dyDescent="0.35">
      <c r="B64" t="s">
        <v>236</v>
      </c>
      <c r="C64" s="71">
        <v>875</v>
      </c>
      <c r="E64" t="s">
        <v>116</v>
      </c>
      <c r="F64" s="6" t="s">
        <v>235</v>
      </c>
    </row>
  </sheetData>
  <hyperlinks>
    <hyperlink ref="G32" r:id="rId1"/>
    <hyperlink ref="G11" r:id="rId2"/>
    <hyperlink ref="G16" r:id="rId3"/>
    <hyperlink ref="G10" r:id="rId4"/>
    <hyperlink ref="G20" r:id="rId5"/>
    <hyperlink ref="G17" r:id="rId6"/>
    <hyperlink ref="G13" r:id="rId7"/>
    <hyperlink ref="G12" r:id="rId8"/>
    <hyperlink ref="F48" r:id="rId9"/>
    <hyperlink ref="F50" r:id="rId10" display="http://www.dudbc.gov.np/uploads/default/files/09c6f80a5cf823991cd05cb90a1ab677.pdf"/>
    <hyperlink ref="F52" r:id="rId11"/>
    <hyperlink ref="G27" r:id="rId12"/>
    <hyperlink ref="G28" r:id="rId13"/>
    <hyperlink ref="G29" r:id="rId14"/>
    <hyperlink ref="F43" r:id="rId15"/>
    <hyperlink ref="F57" r:id="rId16"/>
    <hyperlink ref="F59" r:id="rId17"/>
    <hyperlink ref="F60" r:id="rId18"/>
    <hyperlink ref="G35" r:id="rId19"/>
    <hyperlink ref="G34" r:id="rId20"/>
    <hyperlink ref="G33" r:id="rId21"/>
    <hyperlink ref="G36" r:id="rId22"/>
    <hyperlink ref="G24" r:id="rId23"/>
    <hyperlink ref="G21" r:id="rId24"/>
    <hyperlink ref="G23" r:id="rId25"/>
    <hyperlink ref="G15" r:id="rId26"/>
    <hyperlink ref="G25" r:id="rId27"/>
    <hyperlink ref="F63" r:id="rId28"/>
    <hyperlink ref="F64" r:id="rId29"/>
  </hyperlinks>
  <pageMargins left="0.7" right="0.7" top="0.75" bottom="0.75" header="0.3" footer="0.3"/>
  <pageSetup paperSize="9" orientation="portrait" r:id="rId3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25"/>
  <sheetViews>
    <sheetView tabSelected="1" workbookViewId="0">
      <selection activeCell="D23" sqref="D23"/>
    </sheetView>
  </sheetViews>
  <sheetFormatPr defaultRowHeight="14.5" x14ac:dyDescent="0.35"/>
  <cols>
    <col min="2" max="2" width="13.6328125" bestFit="1" customWidth="1"/>
    <col min="3" max="3" width="13.90625" customWidth="1"/>
    <col min="4" max="4" width="14.26953125" customWidth="1"/>
    <col min="5" max="5" width="15.36328125" customWidth="1"/>
    <col min="6" max="6" width="13.453125" customWidth="1"/>
    <col min="7" max="7" width="64.6328125" customWidth="1"/>
    <col min="8" max="8" width="48" customWidth="1"/>
  </cols>
  <sheetData>
    <row r="1" spans="2:7" ht="18.5" x14ac:dyDescent="0.45">
      <c r="B1" s="55" t="s">
        <v>252</v>
      </c>
    </row>
    <row r="2" spans="2:7" x14ac:dyDescent="0.35">
      <c r="G2" t="s">
        <v>253</v>
      </c>
    </row>
    <row r="3" spans="2:7" x14ac:dyDescent="0.35">
      <c r="B3" s="26" t="s">
        <v>61</v>
      </c>
      <c r="D3" s="21"/>
    </row>
    <row r="4" spans="2:7" ht="44.5" x14ac:dyDescent="0.45">
      <c r="B4" s="7" t="s">
        <v>54</v>
      </c>
      <c r="C4" s="7" t="s">
        <v>55</v>
      </c>
      <c r="D4" s="27" t="s">
        <v>56</v>
      </c>
      <c r="E4" s="7" t="s">
        <v>59</v>
      </c>
      <c r="F4" s="7" t="s">
        <v>60</v>
      </c>
      <c r="G4" s="7" t="s">
        <v>44</v>
      </c>
    </row>
    <row r="5" spans="2:7" ht="43.5" x14ac:dyDescent="0.35">
      <c r="B5" s="22">
        <v>700</v>
      </c>
      <c r="C5" s="22">
        <v>607</v>
      </c>
      <c r="D5" s="23">
        <f>B5/C5</f>
        <v>1.1532125205930808</v>
      </c>
      <c r="E5" s="23">
        <f>8.31/3.78</f>
        <v>2.1984126984126986</v>
      </c>
      <c r="F5" s="23">
        <f>E5*D5</f>
        <v>2.5352370492403447</v>
      </c>
      <c r="G5" s="17" t="s">
        <v>57</v>
      </c>
    </row>
    <row r="7" spans="2:7" x14ac:dyDescent="0.35">
      <c r="B7" s="24" t="s">
        <v>62</v>
      </c>
    </row>
    <row r="8" spans="2:7" x14ac:dyDescent="0.35">
      <c r="B8" t="s">
        <v>177</v>
      </c>
      <c r="C8" s="11"/>
    </row>
    <row r="9" spans="2:7" ht="16.5" x14ac:dyDescent="0.45">
      <c r="B9" t="s">
        <v>178</v>
      </c>
    </row>
    <row r="10" spans="2:7" ht="16.5" x14ac:dyDescent="0.45">
      <c r="B10" t="s">
        <v>179</v>
      </c>
    </row>
    <row r="12" spans="2:7" x14ac:dyDescent="0.35">
      <c r="B12" s="24" t="s">
        <v>63</v>
      </c>
    </row>
    <row r="13" spans="2:7" ht="16.5" x14ac:dyDescent="0.45">
      <c r="B13" t="s">
        <v>238</v>
      </c>
    </row>
    <row r="14" spans="2:7" x14ac:dyDescent="0.35">
      <c r="B14" s="6" t="s">
        <v>237</v>
      </c>
    </row>
    <row r="15" spans="2:7" x14ac:dyDescent="0.35">
      <c r="B15" t="s">
        <v>240</v>
      </c>
      <c r="E15" t="s">
        <v>239</v>
      </c>
      <c r="F15" t="s">
        <v>241</v>
      </c>
    </row>
    <row r="16" spans="2:7" x14ac:dyDescent="0.35">
      <c r="B16" t="s">
        <v>242</v>
      </c>
    </row>
    <row r="20" spans="2:7" x14ac:dyDescent="0.35">
      <c r="B20" s="24" t="s">
        <v>64</v>
      </c>
    </row>
    <row r="21" spans="2:7" ht="16.5" x14ac:dyDescent="0.45">
      <c r="B21" s="18" t="s">
        <v>18</v>
      </c>
      <c r="C21" s="19" t="s">
        <v>21</v>
      </c>
    </row>
    <row r="22" spans="2:7" x14ac:dyDescent="0.35">
      <c r="B22" s="2" t="s">
        <v>19</v>
      </c>
      <c r="C22" s="22">
        <f>2.68*0.15</f>
        <v>0.40200000000000002</v>
      </c>
    </row>
    <row r="23" spans="2:7" x14ac:dyDescent="0.35">
      <c r="B23" s="2" t="s">
        <v>20</v>
      </c>
      <c r="C23" s="140">
        <f>0.074*2.33</f>
        <v>0.17241999999999999</v>
      </c>
      <c r="G23" s="71"/>
    </row>
    <row r="24" spans="2:7" x14ac:dyDescent="0.35">
      <c r="B24" s="2" t="s">
        <v>22</v>
      </c>
      <c r="C24" s="22">
        <v>0</v>
      </c>
    </row>
    <row r="25" spans="2:7" x14ac:dyDescent="0.35">
      <c r="B25" s="10" t="s">
        <v>23</v>
      </c>
      <c r="C25" s="22">
        <v>2.54</v>
      </c>
      <c r="D25">
        <v>1.43</v>
      </c>
      <c r="E25" t="s">
        <v>254</v>
      </c>
    </row>
  </sheetData>
  <hyperlinks>
    <hyperlink ref="G5" r:id="rId1" display="http://airbushelicoptersinc.com/products/H135-specifications.asp"/>
    <hyperlink ref="B14" r:id="rId2"/>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27"/>
  <sheetViews>
    <sheetView topLeftCell="A14" workbookViewId="0">
      <selection activeCell="L16" sqref="L16"/>
    </sheetView>
  </sheetViews>
  <sheetFormatPr defaultRowHeight="14.5" x14ac:dyDescent="0.35"/>
  <cols>
    <col min="1" max="1" width="10.36328125" bestFit="1" customWidth="1"/>
    <col min="2" max="2" width="15.81640625" customWidth="1"/>
    <col min="3" max="3" width="12.1796875" bestFit="1" customWidth="1"/>
    <col min="4" max="4" width="12.1796875" customWidth="1"/>
    <col min="5" max="5" width="17.1796875" bestFit="1" customWidth="1"/>
    <col min="6" max="6" width="11.26953125" bestFit="1" customWidth="1"/>
    <col min="9" max="9" width="22.1796875" bestFit="1" customWidth="1"/>
  </cols>
  <sheetData>
    <row r="2" spans="2:11" ht="18.5" x14ac:dyDescent="0.45">
      <c r="B2" s="55" t="s">
        <v>134</v>
      </c>
    </row>
    <row r="4" spans="2:11" x14ac:dyDescent="0.35">
      <c r="B4" s="7" t="s">
        <v>124</v>
      </c>
      <c r="C4" s="51"/>
      <c r="D4" s="31"/>
      <c r="E4" s="31"/>
      <c r="F4" s="31"/>
      <c r="G4" s="32"/>
      <c r="H4" s="32"/>
      <c r="I4" s="32"/>
      <c r="J4" s="32"/>
      <c r="K4" s="32"/>
    </row>
    <row r="5" spans="2:11" x14ac:dyDescent="0.35">
      <c r="B5" s="2" t="s">
        <v>72</v>
      </c>
      <c r="C5" s="34">
        <v>1</v>
      </c>
      <c r="D5" s="73"/>
      <c r="E5" s="31"/>
      <c r="F5" s="31"/>
      <c r="G5" s="32"/>
      <c r="H5" s="32"/>
      <c r="I5" s="32"/>
      <c r="J5" s="32"/>
      <c r="K5" s="32"/>
    </row>
    <row r="6" spans="2:11" ht="16.5" x14ac:dyDescent="0.35">
      <c r="B6" s="2" t="s">
        <v>73</v>
      </c>
      <c r="C6" s="33">
        <f>6.35*5</f>
        <v>31.75</v>
      </c>
      <c r="D6" s="74"/>
      <c r="E6" s="31"/>
      <c r="F6" s="31"/>
      <c r="G6" s="32"/>
    </row>
    <row r="7" spans="2:11" ht="16.5" x14ac:dyDescent="0.35">
      <c r="B7" s="2" t="s">
        <v>111</v>
      </c>
      <c r="C7" s="33">
        <f>1.5*6.25</f>
        <v>9.375</v>
      </c>
      <c r="D7" s="74"/>
      <c r="E7" s="31"/>
      <c r="F7" s="31"/>
      <c r="G7" s="32"/>
    </row>
    <row r="8" spans="2:11" ht="16.5" x14ac:dyDescent="0.35">
      <c r="B8" s="60" t="s">
        <v>109</v>
      </c>
      <c r="C8" s="61">
        <f>SUM(C6:C7)</f>
        <v>41.125</v>
      </c>
      <c r="D8" s="75"/>
      <c r="E8" s="31"/>
      <c r="F8" s="31"/>
      <c r="G8" s="32"/>
    </row>
    <row r="9" spans="2:11" x14ac:dyDescent="0.35">
      <c r="I9" s="24" t="s">
        <v>81</v>
      </c>
    </row>
    <row r="10" spans="2:11" ht="16.5" x14ac:dyDescent="0.35">
      <c r="B10" s="7" t="s">
        <v>71</v>
      </c>
      <c r="C10" s="7" t="s">
        <v>76</v>
      </c>
      <c r="D10" s="7" t="s">
        <v>2</v>
      </c>
      <c r="E10" s="7" t="s">
        <v>79</v>
      </c>
      <c r="F10" s="7" t="s">
        <v>80</v>
      </c>
      <c r="I10" s="35" t="s">
        <v>192</v>
      </c>
      <c r="J10" s="35">
        <v>1440</v>
      </c>
      <c r="K10" t="s">
        <v>78</v>
      </c>
    </row>
    <row r="11" spans="2:11" ht="16.5" x14ac:dyDescent="0.35">
      <c r="B11" s="62" t="s">
        <v>17</v>
      </c>
      <c r="C11" s="36">
        <f>E11*50</f>
        <v>7050</v>
      </c>
      <c r="D11" s="33">
        <f>C11/$J$10</f>
        <v>4.895833333333333</v>
      </c>
      <c r="E11" s="2">
        <v>141</v>
      </c>
      <c r="F11" s="2"/>
      <c r="I11" t="s">
        <v>191</v>
      </c>
      <c r="J11" s="35">
        <v>7850</v>
      </c>
      <c r="K11" t="s">
        <v>78</v>
      </c>
    </row>
    <row r="12" spans="2:11" ht="16.5" x14ac:dyDescent="0.35">
      <c r="B12" s="62" t="s">
        <v>16</v>
      </c>
      <c r="C12" s="36">
        <f>D12*J15</f>
        <v>14400</v>
      </c>
      <c r="D12" s="2">
        <v>9</v>
      </c>
      <c r="E12" s="2"/>
      <c r="F12" s="2"/>
      <c r="I12" t="s">
        <v>89</v>
      </c>
      <c r="J12" s="35">
        <v>55</v>
      </c>
      <c r="K12" t="s">
        <v>197</v>
      </c>
    </row>
    <row r="13" spans="2:11" ht="16.5" x14ac:dyDescent="0.35">
      <c r="B13" s="62" t="s">
        <v>50</v>
      </c>
      <c r="C13" s="36">
        <f>D13*J15</f>
        <v>33600</v>
      </c>
      <c r="D13" s="2">
        <v>21</v>
      </c>
      <c r="E13" s="2"/>
      <c r="F13" s="2"/>
      <c r="I13" t="s">
        <v>113</v>
      </c>
      <c r="J13" s="35">
        <v>2225</v>
      </c>
      <c r="K13" t="s">
        <v>78</v>
      </c>
    </row>
    <row r="14" spans="2:11" ht="16.5" x14ac:dyDescent="0.35">
      <c r="B14" s="62" t="s">
        <v>24</v>
      </c>
      <c r="C14" s="36">
        <v>460</v>
      </c>
      <c r="D14" s="33">
        <f>C14/$J$11</f>
        <v>5.8598726114649682E-2</v>
      </c>
      <c r="E14" s="2"/>
      <c r="F14" s="2"/>
      <c r="I14" t="s">
        <v>115</v>
      </c>
      <c r="J14" s="35">
        <v>7830</v>
      </c>
      <c r="K14" t="s">
        <v>78</v>
      </c>
    </row>
    <row r="15" spans="2:11" ht="16.5" x14ac:dyDescent="0.35">
      <c r="B15" s="57" t="s">
        <v>74</v>
      </c>
      <c r="C15" s="58"/>
      <c r="D15" s="59"/>
      <c r="E15" s="59"/>
      <c r="F15" s="59"/>
      <c r="I15" t="s">
        <v>167</v>
      </c>
      <c r="J15" s="35">
        <v>1600</v>
      </c>
      <c r="K15" t="s">
        <v>78</v>
      </c>
    </row>
    <row r="16" spans="2:11" ht="16.5" x14ac:dyDescent="0.35">
      <c r="B16" s="57" t="s">
        <v>82</v>
      </c>
      <c r="C16" s="58"/>
      <c r="D16" s="59"/>
      <c r="E16" s="59"/>
      <c r="F16" s="59"/>
      <c r="I16" t="s">
        <v>168</v>
      </c>
      <c r="J16" s="35">
        <v>673</v>
      </c>
      <c r="K16" t="s">
        <v>78</v>
      </c>
    </row>
    <row r="17" spans="2:11" ht="16.5" x14ac:dyDescent="0.35">
      <c r="B17" s="62" t="s">
        <v>52</v>
      </c>
      <c r="C17" s="36">
        <f>D17*J19</f>
        <v>1753.8000000000002</v>
      </c>
      <c r="D17" s="2">
        <v>2.2200000000000002</v>
      </c>
      <c r="E17" s="2"/>
      <c r="F17" s="2"/>
      <c r="I17" t="s">
        <v>169</v>
      </c>
      <c r="J17" s="35">
        <v>1906</v>
      </c>
      <c r="K17" t="s">
        <v>78</v>
      </c>
    </row>
    <row r="18" spans="2:11" ht="16.5" x14ac:dyDescent="0.35">
      <c r="B18" s="63" t="s">
        <v>92</v>
      </c>
      <c r="C18" s="58"/>
      <c r="D18" s="59"/>
      <c r="E18" s="59"/>
      <c r="F18" s="59"/>
      <c r="I18" t="s">
        <v>171</v>
      </c>
      <c r="J18" s="35">
        <v>2691</v>
      </c>
      <c r="K18" t="s">
        <v>78</v>
      </c>
    </row>
    <row r="19" spans="2:11" ht="16.5" x14ac:dyDescent="0.35">
      <c r="B19" s="64" t="s">
        <v>51</v>
      </c>
      <c r="C19" s="72">
        <f>D19*J18</f>
        <v>91494</v>
      </c>
      <c r="D19" s="22">
        <v>34</v>
      </c>
      <c r="E19" s="52"/>
      <c r="F19" s="52"/>
      <c r="I19" t="s">
        <v>173</v>
      </c>
      <c r="J19" s="35">
        <v>790</v>
      </c>
      <c r="K19" t="s">
        <v>78</v>
      </c>
    </row>
    <row r="20" spans="2:11" ht="16.5" x14ac:dyDescent="0.35">
      <c r="B20" s="63" t="s">
        <v>104</v>
      </c>
      <c r="C20" s="58"/>
      <c r="D20" s="59"/>
      <c r="E20" s="59"/>
      <c r="F20" s="59"/>
      <c r="I20" t="s">
        <v>180</v>
      </c>
      <c r="J20" s="35">
        <v>2800</v>
      </c>
      <c r="K20" t="s">
        <v>78</v>
      </c>
    </row>
    <row r="21" spans="2:11" x14ac:dyDescent="0.35">
      <c r="B21" s="62" t="s">
        <v>70</v>
      </c>
      <c r="C21" s="36">
        <f>55*F21</f>
        <v>259.05</v>
      </c>
      <c r="D21" s="33">
        <f>C21/$J$13</f>
        <v>0.11642696629213484</v>
      </c>
      <c r="E21" s="2"/>
      <c r="F21" s="2">
        <v>4.71</v>
      </c>
      <c r="I21" t="s">
        <v>174</v>
      </c>
      <c r="J21" t="s">
        <v>175</v>
      </c>
      <c r="K21" t="s">
        <v>116</v>
      </c>
    </row>
    <row r="22" spans="2:11" ht="16.5" x14ac:dyDescent="0.35">
      <c r="B22" s="57" t="s">
        <v>95</v>
      </c>
      <c r="C22" s="58"/>
      <c r="D22" s="59"/>
      <c r="E22" s="59"/>
      <c r="F22" s="59"/>
      <c r="I22" t="s">
        <v>182</v>
      </c>
      <c r="J22" s="38">
        <v>1920</v>
      </c>
      <c r="K22" t="s">
        <v>78</v>
      </c>
    </row>
    <row r="23" spans="2:11" ht="16.5" x14ac:dyDescent="0.35">
      <c r="B23" s="57" t="s">
        <v>101</v>
      </c>
      <c r="C23" s="58"/>
      <c r="D23" s="59"/>
      <c r="E23" s="59"/>
      <c r="F23" s="59"/>
      <c r="I23" t="s">
        <v>184</v>
      </c>
      <c r="J23" s="35">
        <v>1600</v>
      </c>
      <c r="K23" t="s">
        <v>78</v>
      </c>
    </row>
    <row r="24" spans="2:11" x14ac:dyDescent="0.35">
      <c r="B24" s="57" t="s">
        <v>103</v>
      </c>
      <c r="C24" s="58"/>
      <c r="D24" s="59"/>
      <c r="E24" s="59"/>
      <c r="F24" s="59"/>
      <c r="I24" t="s">
        <v>186</v>
      </c>
      <c r="J24" t="s">
        <v>187</v>
      </c>
      <c r="K24" t="s">
        <v>188</v>
      </c>
    </row>
    <row r="25" spans="2:11" x14ac:dyDescent="0.35">
      <c r="B25" s="57" t="s">
        <v>121</v>
      </c>
      <c r="C25" s="58"/>
      <c r="D25" s="59"/>
      <c r="E25" s="59"/>
      <c r="F25" s="59"/>
      <c r="I25" t="s">
        <v>189</v>
      </c>
      <c r="J25" s="78" t="s">
        <v>196</v>
      </c>
      <c r="K25" t="s">
        <v>190</v>
      </c>
    </row>
    <row r="26" spans="2:11" x14ac:dyDescent="0.35">
      <c r="B26" s="57" t="s">
        <v>120</v>
      </c>
      <c r="C26" s="58"/>
      <c r="D26" s="59"/>
      <c r="E26" s="59"/>
      <c r="F26" s="59"/>
    </row>
    <row r="27" spans="2:11" x14ac:dyDescent="0.35">
      <c r="B27" s="57" t="s">
        <v>93</v>
      </c>
      <c r="C27" s="58"/>
      <c r="D27" s="59"/>
      <c r="E27" s="59"/>
      <c r="F27" s="59"/>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27"/>
  <sheetViews>
    <sheetView topLeftCell="A15" workbookViewId="0">
      <selection activeCell="J29" sqref="J29"/>
    </sheetView>
  </sheetViews>
  <sheetFormatPr defaultRowHeight="14.5" x14ac:dyDescent="0.35"/>
  <cols>
    <col min="2" max="2" width="13" bestFit="1" customWidth="1"/>
    <col min="3" max="3" width="11.26953125" bestFit="1" customWidth="1"/>
    <col min="4" max="4" width="11.26953125" customWidth="1"/>
    <col min="5" max="5" width="8.7265625" bestFit="1" customWidth="1"/>
    <col min="6" max="6" width="10.453125" bestFit="1" customWidth="1"/>
    <col min="9" max="9" width="25.7265625" bestFit="1" customWidth="1"/>
  </cols>
  <sheetData>
    <row r="2" spans="2:11" ht="18.5" x14ac:dyDescent="0.45">
      <c r="B2" s="55" t="s">
        <v>136</v>
      </c>
    </row>
    <row r="4" spans="2:11" x14ac:dyDescent="0.35">
      <c r="B4" s="99" t="s">
        <v>124</v>
      </c>
      <c r="C4" s="99"/>
    </row>
    <row r="5" spans="2:11" x14ac:dyDescent="0.35">
      <c r="B5" s="2" t="s">
        <v>72</v>
      </c>
      <c r="C5" s="34">
        <v>1</v>
      </c>
      <c r="D5" s="73"/>
    </row>
    <row r="6" spans="2:11" ht="16.5" x14ac:dyDescent="0.35">
      <c r="B6" s="2" t="s">
        <v>73</v>
      </c>
      <c r="C6" s="33">
        <f>7.35*6.45-3*2.1</f>
        <v>41.107500000000002</v>
      </c>
      <c r="D6" s="74"/>
    </row>
    <row r="7" spans="2:11" ht="16.5" x14ac:dyDescent="0.35">
      <c r="B7" s="2" t="s">
        <v>111</v>
      </c>
      <c r="C7" s="33">
        <f>3*2.1</f>
        <v>6.3000000000000007</v>
      </c>
      <c r="D7" s="74"/>
    </row>
    <row r="8" spans="2:11" ht="16.5" x14ac:dyDescent="0.35">
      <c r="B8" s="60" t="s">
        <v>109</v>
      </c>
      <c r="C8" s="61">
        <f>C6+C7</f>
        <v>47.407499999999999</v>
      </c>
      <c r="D8" s="75"/>
    </row>
    <row r="9" spans="2:11" x14ac:dyDescent="0.35">
      <c r="B9" s="24"/>
      <c r="C9" s="41"/>
      <c r="D9" s="41"/>
      <c r="I9" s="24" t="s">
        <v>81</v>
      </c>
    </row>
    <row r="10" spans="2:11" ht="16.5" x14ac:dyDescent="0.35">
      <c r="B10" s="7" t="s">
        <v>71</v>
      </c>
      <c r="C10" s="7" t="s">
        <v>76</v>
      </c>
      <c r="D10" s="7" t="s">
        <v>2</v>
      </c>
      <c r="E10" s="7" t="s">
        <v>94</v>
      </c>
      <c r="I10" s="35" t="s">
        <v>192</v>
      </c>
      <c r="J10" s="35">
        <v>1440</v>
      </c>
      <c r="K10" t="s">
        <v>78</v>
      </c>
    </row>
    <row r="11" spans="2:11" ht="16.5" x14ac:dyDescent="0.35">
      <c r="B11" s="57" t="s">
        <v>17</v>
      </c>
      <c r="C11" s="59"/>
      <c r="D11" s="59"/>
      <c r="E11" s="59"/>
      <c r="I11" t="s">
        <v>191</v>
      </c>
      <c r="J11" s="35">
        <v>7850</v>
      </c>
      <c r="K11" t="s">
        <v>78</v>
      </c>
    </row>
    <row r="12" spans="2:11" x14ac:dyDescent="0.35">
      <c r="B12" s="57" t="s">
        <v>16</v>
      </c>
      <c r="C12" s="59"/>
      <c r="D12" s="59"/>
      <c r="E12" s="59"/>
      <c r="I12" t="s">
        <v>89</v>
      </c>
      <c r="J12" s="35">
        <v>55</v>
      </c>
      <c r="K12" t="s">
        <v>90</v>
      </c>
    </row>
    <row r="13" spans="2:11" ht="16.5" x14ac:dyDescent="0.35">
      <c r="B13" s="57" t="s">
        <v>50</v>
      </c>
      <c r="C13" s="59"/>
      <c r="D13" s="59"/>
      <c r="E13" s="59"/>
      <c r="I13" t="s">
        <v>113</v>
      </c>
      <c r="J13" s="35">
        <v>2225</v>
      </c>
      <c r="K13" t="s">
        <v>78</v>
      </c>
    </row>
    <row r="14" spans="2:11" ht="16.5" x14ac:dyDescent="0.35">
      <c r="B14" s="57" t="s">
        <v>24</v>
      </c>
      <c r="C14" s="59"/>
      <c r="D14" s="59"/>
      <c r="E14" s="59"/>
      <c r="I14" t="s">
        <v>115</v>
      </c>
      <c r="J14" s="35">
        <v>7830</v>
      </c>
      <c r="K14" t="s">
        <v>78</v>
      </c>
    </row>
    <row r="15" spans="2:11" ht="16.5" x14ac:dyDescent="0.35">
      <c r="B15" s="57" t="s">
        <v>74</v>
      </c>
      <c r="C15" s="59"/>
      <c r="D15" s="59"/>
      <c r="E15" s="59"/>
      <c r="I15" t="s">
        <v>167</v>
      </c>
      <c r="J15" s="35">
        <v>1600</v>
      </c>
      <c r="K15" t="s">
        <v>78</v>
      </c>
    </row>
    <row r="16" spans="2:11" ht="16.5" x14ac:dyDescent="0.35">
      <c r="B16" s="57" t="s">
        <v>82</v>
      </c>
      <c r="C16" s="66"/>
      <c r="D16" s="66"/>
      <c r="E16" s="66"/>
      <c r="I16" t="s">
        <v>168</v>
      </c>
      <c r="J16" s="35">
        <v>673</v>
      </c>
      <c r="K16" t="s">
        <v>78</v>
      </c>
    </row>
    <row r="17" spans="2:11" ht="16.5" x14ac:dyDescent="0.35">
      <c r="B17" s="62" t="s">
        <v>52</v>
      </c>
      <c r="C17" s="36">
        <f>D17*J19</f>
        <v>6051.4000000000005</v>
      </c>
      <c r="D17" s="2">
        <v>7.66</v>
      </c>
      <c r="E17" s="2"/>
      <c r="I17" t="s">
        <v>169</v>
      </c>
      <c r="J17" s="35">
        <v>1906</v>
      </c>
      <c r="K17" t="s">
        <v>78</v>
      </c>
    </row>
    <row r="18" spans="2:11" ht="16.5" x14ac:dyDescent="0.35">
      <c r="B18" s="64" t="s">
        <v>92</v>
      </c>
      <c r="C18" s="36">
        <f>D18*J17</f>
        <v>78146</v>
      </c>
      <c r="D18" s="2">
        <v>41</v>
      </c>
      <c r="E18" s="2"/>
      <c r="I18" t="s">
        <v>171</v>
      </c>
      <c r="J18" s="35">
        <v>2691</v>
      </c>
      <c r="K18" t="s">
        <v>78</v>
      </c>
    </row>
    <row r="19" spans="2:11" ht="16.5" x14ac:dyDescent="0.35">
      <c r="B19" s="64" t="s">
        <v>51</v>
      </c>
      <c r="C19" s="36">
        <f>D19*J18</f>
        <v>150696</v>
      </c>
      <c r="D19" s="2">
        <v>56</v>
      </c>
      <c r="E19" s="2"/>
      <c r="I19" t="s">
        <v>173</v>
      </c>
      <c r="J19" s="35">
        <v>790</v>
      </c>
      <c r="K19" t="s">
        <v>78</v>
      </c>
    </row>
    <row r="20" spans="2:11" ht="16.5" x14ac:dyDescent="0.35">
      <c r="B20" s="63" t="s">
        <v>104</v>
      </c>
      <c r="C20" s="59"/>
      <c r="D20" s="59"/>
      <c r="E20" s="59"/>
      <c r="I20" t="s">
        <v>180</v>
      </c>
      <c r="J20" s="35">
        <v>2800</v>
      </c>
      <c r="K20" t="s">
        <v>78</v>
      </c>
    </row>
    <row r="21" spans="2:11" x14ac:dyDescent="0.35">
      <c r="B21" s="57" t="s">
        <v>70</v>
      </c>
      <c r="C21" s="59"/>
      <c r="D21" s="59"/>
      <c r="E21" s="59"/>
      <c r="I21" t="s">
        <v>174</v>
      </c>
      <c r="J21" t="s">
        <v>175</v>
      </c>
      <c r="K21" t="s">
        <v>116</v>
      </c>
    </row>
    <row r="22" spans="2:11" ht="16.5" x14ac:dyDescent="0.35">
      <c r="B22" s="59" t="s">
        <v>95</v>
      </c>
      <c r="C22" s="59"/>
      <c r="D22" s="59"/>
      <c r="E22" s="59"/>
      <c r="I22" t="s">
        <v>182</v>
      </c>
      <c r="J22" s="38">
        <v>1920</v>
      </c>
      <c r="K22" t="s">
        <v>78</v>
      </c>
    </row>
    <row r="23" spans="2:11" ht="16.5" x14ac:dyDescent="0.35">
      <c r="B23" s="57" t="s">
        <v>101</v>
      </c>
      <c r="C23" s="59"/>
      <c r="D23" s="59"/>
      <c r="E23" s="59"/>
      <c r="I23" t="s">
        <v>184</v>
      </c>
      <c r="J23" s="35">
        <v>1600</v>
      </c>
      <c r="K23" t="s">
        <v>78</v>
      </c>
    </row>
    <row r="24" spans="2:11" x14ac:dyDescent="0.35">
      <c r="B24" s="57" t="s">
        <v>103</v>
      </c>
      <c r="C24" s="59"/>
      <c r="D24" s="59"/>
      <c r="E24" s="59"/>
      <c r="I24" t="s">
        <v>186</v>
      </c>
      <c r="J24" t="s">
        <v>187</v>
      </c>
      <c r="K24" t="s">
        <v>188</v>
      </c>
    </row>
    <row r="25" spans="2:11" x14ac:dyDescent="0.35">
      <c r="B25" s="57" t="s">
        <v>121</v>
      </c>
      <c r="C25" s="59"/>
      <c r="D25" s="59"/>
      <c r="E25" s="59"/>
      <c r="I25" t="s">
        <v>189</v>
      </c>
      <c r="J25" s="78" t="s">
        <v>196</v>
      </c>
      <c r="K25" t="s">
        <v>190</v>
      </c>
    </row>
    <row r="26" spans="2:11" x14ac:dyDescent="0.35">
      <c r="B26" s="57" t="s">
        <v>120</v>
      </c>
      <c r="C26" s="59"/>
      <c r="D26" s="59"/>
      <c r="E26" s="59"/>
      <c r="I26" t="s">
        <v>233</v>
      </c>
      <c r="J26">
        <v>8</v>
      </c>
      <c r="K26" t="s">
        <v>116</v>
      </c>
    </row>
    <row r="27" spans="2:11" x14ac:dyDescent="0.35">
      <c r="B27" s="57" t="s">
        <v>93</v>
      </c>
      <c r="C27" s="36">
        <f>D27*J18</f>
        <v>3466.0080000000003</v>
      </c>
      <c r="D27" s="2">
        <f>E27*0.008</f>
        <v>1.288</v>
      </c>
      <c r="E27" s="2">
        <v>161</v>
      </c>
    </row>
  </sheetData>
  <mergeCells count="1">
    <mergeCell ref="B4:C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27"/>
  <sheetViews>
    <sheetView topLeftCell="A13" workbookViewId="0">
      <selection activeCell="I10" sqref="I10:K26"/>
    </sheetView>
  </sheetViews>
  <sheetFormatPr defaultRowHeight="14.5" x14ac:dyDescent="0.35"/>
  <cols>
    <col min="1" max="1" width="8.7265625" customWidth="1"/>
    <col min="2" max="2" width="14.7265625" bestFit="1" customWidth="1"/>
    <col min="3" max="4" width="14.7265625" customWidth="1"/>
    <col min="5" max="5" width="17.1796875" bestFit="1" customWidth="1"/>
    <col min="6" max="6" width="14.36328125" bestFit="1" customWidth="1"/>
    <col min="7" max="7" width="10.26953125" bestFit="1" customWidth="1"/>
    <col min="8" max="8" width="11.26953125" bestFit="1" customWidth="1"/>
    <col min="9" max="9" width="17.1796875" bestFit="1" customWidth="1"/>
    <col min="10" max="10" width="10.6328125" bestFit="1" customWidth="1"/>
  </cols>
  <sheetData>
    <row r="2" spans="2:11" ht="18.5" x14ac:dyDescent="0.45">
      <c r="B2" s="55" t="s">
        <v>137</v>
      </c>
    </row>
    <row r="4" spans="2:11" x14ac:dyDescent="0.35">
      <c r="B4" s="100" t="s">
        <v>124</v>
      </c>
      <c r="C4" s="101"/>
      <c r="D4" s="76"/>
    </row>
    <row r="5" spans="2:11" x14ac:dyDescent="0.35">
      <c r="B5" s="2" t="s">
        <v>72</v>
      </c>
      <c r="C5" s="34">
        <v>1</v>
      </c>
      <c r="D5" s="73"/>
      <c r="E5" s="31"/>
      <c r="F5" s="31"/>
      <c r="G5" s="32"/>
      <c r="H5" s="32"/>
      <c r="I5" s="32"/>
      <c r="J5" s="32"/>
      <c r="K5" s="32"/>
    </row>
    <row r="6" spans="2:11" ht="16.5" x14ac:dyDescent="0.35">
      <c r="B6" s="2" t="s">
        <v>73</v>
      </c>
      <c r="C6" s="33">
        <f>6.35*5</f>
        <v>31.75</v>
      </c>
      <c r="D6" s="74"/>
      <c r="E6" s="31"/>
      <c r="F6" s="31"/>
      <c r="G6" s="32"/>
    </row>
    <row r="7" spans="2:11" ht="16.5" x14ac:dyDescent="0.35">
      <c r="B7" s="2" t="s">
        <v>111</v>
      </c>
      <c r="C7" s="33">
        <f>1.5*6.35</f>
        <v>9.5249999999999986</v>
      </c>
      <c r="D7" s="74"/>
      <c r="E7" s="31"/>
      <c r="F7" s="31"/>
      <c r="G7" s="32"/>
    </row>
    <row r="8" spans="2:11" ht="16.5" x14ac:dyDescent="0.35">
      <c r="B8" s="60" t="s">
        <v>109</v>
      </c>
      <c r="C8" s="61">
        <f>C6+C7</f>
        <v>41.274999999999999</v>
      </c>
      <c r="D8" s="75"/>
      <c r="E8" s="31"/>
      <c r="F8" s="31"/>
      <c r="G8" s="32"/>
    </row>
    <row r="10" spans="2:11" ht="16.5" x14ac:dyDescent="0.35">
      <c r="B10" s="7" t="s">
        <v>71</v>
      </c>
      <c r="C10" s="7" t="s">
        <v>76</v>
      </c>
      <c r="D10" s="7" t="s">
        <v>2</v>
      </c>
      <c r="E10" s="7" t="s">
        <v>79</v>
      </c>
      <c r="F10" s="7" t="s">
        <v>77</v>
      </c>
      <c r="G10" s="7" t="s">
        <v>75</v>
      </c>
      <c r="I10" s="24" t="s">
        <v>81</v>
      </c>
    </row>
    <row r="11" spans="2:11" ht="16.5" x14ac:dyDescent="0.35">
      <c r="B11" s="62" t="s">
        <v>17</v>
      </c>
      <c r="C11" s="36">
        <f>E11*50</f>
        <v>6350</v>
      </c>
      <c r="D11" s="33">
        <f>C11/J11</f>
        <v>4.4097222222222223</v>
      </c>
      <c r="E11" s="2">
        <v>127</v>
      </c>
      <c r="F11" s="2"/>
      <c r="G11" s="2"/>
      <c r="I11" s="35" t="s">
        <v>192</v>
      </c>
      <c r="J11" s="35">
        <v>1440</v>
      </c>
      <c r="K11" t="s">
        <v>78</v>
      </c>
    </row>
    <row r="12" spans="2:11" ht="16.5" x14ac:dyDescent="0.35">
      <c r="B12" s="62" t="s">
        <v>16</v>
      </c>
      <c r="C12" s="36">
        <f>D12*J16</f>
        <v>24000</v>
      </c>
      <c r="D12" s="2">
        <v>15</v>
      </c>
      <c r="E12" s="2"/>
      <c r="F12" s="2"/>
      <c r="G12" s="2"/>
      <c r="I12" t="s">
        <v>191</v>
      </c>
      <c r="J12" s="35">
        <v>7850</v>
      </c>
      <c r="K12" t="s">
        <v>78</v>
      </c>
    </row>
    <row r="13" spans="2:11" x14ac:dyDescent="0.35">
      <c r="B13" s="62" t="s">
        <v>50</v>
      </c>
      <c r="C13" s="36">
        <f>D13*J16</f>
        <v>14400</v>
      </c>
      <c r="D13" s="2">
        <v>9</v>
      </c>
      <c r="E13" s="2"/>
      <c r="F13" s="2"/>
      <c r="G13" s="2"/>
      <c r="I13" t="s">
        <v>89</v>
      </c>
      <c r="J13" s="35">
        <v>55</v>
      </c>
      <c r="K13" t="s">
        <v>90</v>
      </c>
    </row>
    <row r="14" spans="2:11" ht="16.5" x14ac:dyDescent="0.35">
      <c r="B14" s="62" t="s">
        <v>24</v>
      </c>
      <c r="C14" s="36">
        <v>460</v>
      </c>
      <c r="D14" s="33">
        <f>C14/J11</f>
        <v>0.31944444444444442</v>
      </c>
      <c r="E14" s="2"/>
      <c r="F14" s="2"/>
      <c r="G14" s="2"/>
      <c r="I14" t="s">
        <v>113</v>
      </c>
      <c r="J14" s="35">
        <v>2225</v>
      </c>
      <c r="K14" t="s">
        <v>78</v>
      </c>
    </row>
    <row r="15" spans="2:11" ht="16.5" x14ac:dyDescent="0.35">
      <c r="B15" s="62" t="s">
        <v>74</v>
      </c>
      <c r="C15" s="36">
        <f>D15*J23</f>
        <v>66751.001856000003</v>
      </c>
      <c r="D15" s="33">
        <f>0.24*0.115*0.057*G15</f>
        <v>34.766146800000001</v>
      </c>
      <c r="E15" s="2"/>
      <c r="F15" s="2"/>
      <c r="G15" s="36">
        <v>22099</v>
      </c>
      <c r="I15" t="s">
        <v>115</v>
      </c>
      <c r="J15" s="35">
        <v>7830</v>
      </c>
      <c r="K15" t="s">
        <v>78</v>
      </c>
    </row>
    <row r="16" spans="2:11" ht="16.5" x14ac:dyDescent="0.35">
      <c r="B16" s="57" t="s">
        <v>82</v>
      </c>
      <c r="C16" s="58"/>
      <c r="D16" s="59"/>
      <c r="E16" s="59"/>
      <c r="F16" s="59"/>
      <c r="G16" s="59"/>
      <c r="I16" t="s">
        <v>167</v>
      </c>
      <c r="J16" s="35">
        <v>1600</v>
      </c>
      <c r="K16" t="s">
        <v>78</v>
      </c>
    </row>
    <row r="17" spans="2:11" ht="16.5" x14ac:dyDescent="0.35">
      <c r="B17" s="62" t="s">
        <v>52</v>
      </c>
      <c r="C17" s="36">
        <f>D17*J20</f>
        <v>1793.3</v>
      </c>
      <c r="D17" s="2">
        <v>2.27</v>
      </c>
      <c r="E17" s="2"/>
      <c r="F17" s="2"/>
      <c r="G17" s="2"/>
      <c r="I17" t="s">
        <v>168</v>
      </c>
      <c r="J17" s="35">
        <v>673</v>
      </c>
      <c r="K17" t="s">
        <v>78</v>
      </c>
    </row>
    <row r="18" spans="2:11" ht="16.5" x14ac:dyDescent="0.35">
      <c r="B18" s="63" t="s">
        <v>92</v>
      </c>
      <c r="C18" s="58"/>
      <c r="D18" s="59"/>
      <c r="E18" s="59"/>
      <c r="F18" s="59"/>
      <c r="G18" s="59"/>
      <c r="I18" t="s">
        <v>169</v>
      </c>
      <c r="J18" s="35">
        <v>1906</v>
      </c>
      <c r="K18" t="s">
        <v>78</v>
      </c>
    </row>
    <row r="19" spans="2:11" ht="16.5" x14ac:dyDescent="0.35">
      <c r="B19" s="63" t="s">
        <v>51</v>
      </c>
      <c r="C19" s="58"/>
      <c r="D19" s="59"/>
      <c r="E19" s="59"/>
      <c r="F19" s="59"/>
      <c r="G19" s="59"/>
      <c r="I19" t="s">
        <v>171</v>
      </c>
      <c r="J19" s="35">
        <v>2691</v>
      </c>
      <c r="K19" t="s">
        <v>78</v>
      </c>
    </row>
    <row r="20" spans="2:11" ht="16.5" x14ac:dyDescent="0.35">
      <c r="B20" s="63" t="s">
        <v>104</v>
      </c>
      <c r="C20" s="70"/>
      <c r="D20" s="66"/>
      <c r="E20" s="66"/>
      <c r="F20" s="66"/>
      <c r="G20" s="66"/>
      <c r="I20" t="s">
        <v>173</v>
      </c>
      <c r="J20" s="35">
        <v>790</v>
      </c>
      <c r="K20" t="s">
        <v>78</v>
      </c>
    </row>
    <row r="21" spans="2:11" ht="16.5" x14ac:dyDescent="0.35">
      <c r="B21" s="57" t="s">
        <v>70</v>
      </c>
      <c r="C21" s="36">
        <f>F21*55</f>
        <v>259.05</v>
      </c>
      <c r="D21" s="33">
        <f>C21/J14</f>
        <v>0.11642696629213484</v>
      </c>
      <c r="E21" s="2"/>
      <c r="F21" s="2">
        <v>4.71</v>
      </c>
      <c r="G21" s="2"/>
      <c r="I21" t="s">
        <v>180</v>
      </c>
      <c r="J21" s="35">
        <v>2800</v>
      </c>
      <c r="K21" t="s">
        <v>78</v>
      </c>
    </row>
    <row r="22" spans="2:11" x14ac:dyDescent="0.35">
      <c r="B22" s="59" t="s">
        <v>95</v>
      </c>
      <c r="C22" s="59"/>
      <c r="D22" s="59"/>
      <c r="E22" s="59"/>
      <c r="F22" s="59"/>
      <c r="G22" s="59"/>
      <c r="I22" t="s">
        <v>174</v>
      </c>
      <c r="J22" t="s">
        <v>175</v>
      </c>
      <c r="K22" t="s">
        <v>116</v>
      </c>
    </row>
    <row r="23" spans="2:11" ht="16.5" x14ac:dyDescent="0.35">
      <c r="B23" s="57" t="s">
        <v>101</v>
      </c>
      <c r="C23" s="59"/>
      <c r="D23" s="59"/>
      <c r="E23" s="59"/>
      <c r="F23" s="59"/>
      <c r="G23" s="59"/>
      <c r="I23" t="s">
        <v>182</v>
      </c>
      <c r="J23" s="38">
        <v>1920</v>
      </c>
      <c r="K23" t="s">
        <v>78</v>
      </c>
    </row>
    <row r="24" spans="2:11" ht="16.5" x14ac:dyDescent="0.35">
      <c r="B24" s="57" t="s">
        <v>103</v>
      </c>
      <c r="C24" s="59"/>
      <c r="D24" s="59"/>
      <c r="E24" s="59"/>
      <c r="F24" s="59"/>
      <c r="G24" s="59"/>
      <c r="I24" t="s">
        <v>184</v>
      </c>
      <c r="J24" s="35">
        <v>1600</v>
      </c>
      <c r="K24" t="s">
        <v>78</v>
      </c>
    </row>
    <row r="25" spans="2:11" x14ac:dyDescent="0.35">
      <c r="B25" s="57" t="s">
        <v>121</v>
      </c>
      <c r="C25" s="59"/>
      <c r="D25" s="59"/>
      <c r="E25" s="59"/>
      <c r="F25" s="59"/>
      <c r="G25" s="59"/>
      <c r="I25" t="s">
        <v>186</v>
      </c>
      <c r="J25" t="s">
        <v>187</v>
      </c>
      <c r="K25" t="s">
        <v>188</v>
      </c>
    </row>
    <row r="26" spans="2:11" x14ac:dyDescent="0.35">
      <c r="B26" s="57" t="s">
        <v>120</v>
      </c>
      <c r="C26" s="59"/>
      <c r="D26" s="59"/>
      <c r="E26" s="59"/>
      <c r="F26" s="59"/>
      <c r="G26" s="59"/>
      <c r="I26" t="s">
        <v>189</v>
      </c>
      <c r="J26" s="78" t="s">
        <v>196</v>
      </c>
      <c r="K26" t="s">
        <v>190</v>
      </c>
    </row>
    <row r="27" spans="2:11" x14ac:dyDescent="0.35">
      <c r="B27" s="57" t="s">
        <v>93</v>
      </c>
      <c r="C27" s="59"/>
      <c r="D27" s="59"/>
      <c r="E27" s="59"/>
      <c r="F27" s="59"/>
      <c r="G27" s="59"/>
    </row>
  </sheetData>
  <mergeCells count="1">
    <mergeCell ref="B4:C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27"/>
  <sheetViews>
    <sheetView topLeftCell="A16" workbookViewId="0">
      <selection activeCell="D22" sqref="D22"/>
    </sheetView>
  </sheetViews>
  <sheetFormatPr defaultRowHeight="14.5" x14ac:dyDescent="0.35"/>
  <cols>
    <col min="2" max="2" width="13" bestFit="1" customWidth="1"/>
    <col min="3" max="3" width="11.26953125" bestFit="1" customWidth="1"/>
    <col min="4" max="4" width="11.26953125" customWidth="1"/>
    <col min="11" max="11" width="16.453125" bestFit="1" customWidth="1"/>
  </cols>
  <sheetData>
    <row r="2" spans="2:13" ht="18.5" x14ac:dyDescent="0.45">
      <c r="B2" s="55" t="s">
        <v>139</v>
      </c>
    </row>
    <row r="4" spans="2:13" x14ac:dyDescent="0.35">
      <c r="B4" s="99" t="s">
        <v>124</v>
      </c>
      <c r="C4" s="99"/>
      <c r="D4" s="76"/>
    </row>
    <row r="5" spans="2:13" x14ac:dyDescent="0.35">
      <c r="B5" s="2" t="s">
        <v>72</v>
      </c>
      <c r="C5" s="34">
        <v>1</v>
      </c>
      <c r="D5" s="73"/>
    </row>
    <row r="6" spans="2:13" ht="16.5" x14ac:dyDescent="0.35">
      <c r="B6" s="2" t="s">
        <v>73</v>
      </c>
      <c r="C6" s="33">
        <f>7.05*5.75-3*2.1</f>
        <v>34.237499999999997</v>
      </c>
      <c r="D6" s="74"/>
    </row>
    <row r="7" spans="2:13" ht="16.5" x14ac:dyDescent="0.35">
      <c r="B7" s="2" t="s">
        <v>111</v>
      </c>
      <c r="C7" s="33">
        <f>3*2.1</f>
        <v>6.3000000000000007</v>
      </c>
      <c r="D7" s="74"/>
    </row>
    <row r="8" spans="2:13" ht="16.5" x14ac:dyDescent="0.35">
      <c r="B8" s="60" t="s">
        <v>109</v>
      </c>
      <c r="C8" s="61">
        <f>C6+C7</f>
        <v>40.537499999999994</v>
      </c>
      <c r="D8" s="75"/>
    </row>
    <row r="9" spans="2:13" x14ac:dyDescent="0.35">
      <c r="K9" s="24" t="s">
        <v>81</v>
      </c>
    </row>
    <row r="10" spans="2:13" ht="16.5" x14ac:dyDescent="0.35">
      <c r="B10" s="7" t="s">
        <v>71</v>
      </c>
      <c r="C10" s="7" t="s">
        <v>76</v>
      </c>
      <c r="D10" s="7" t="s">
        <v>2</v>
      </c>
      <c r="E10" s="7" t="s">
        <v>94</v>
      </c>
      <c r="F10" s="7" t="s">
        <v>80</v>
      </c>
      <c r="G10" s="7" t="s">
        <v>75</v>
      </c>
      <c r="H10" s="7" t="s">
        <v>96</v>
      </c>
      <c r="K10" s="35" t="s">
        <v>192</v>
      </c>
      <c r="L10" s="35">
        <v>1440</v>
      </c>
      <c r="M10" t="s">
        <v>78</v>
      </c>
    </row>
    <row r="11" spans="2:13" ht="16.5" x14ac:dyDescent="0.35">
      <c r="B11" s="57" t="s">
        <v>17</v>
      </c>
      <c r="C11" s="59"/>
      <c r="D11" s="59"/>
      <c r="E11" s="59"/>
      <c r="F11" s="59"/>
      <c r="G11" s="59"/>
      <c r="H11" s="59"/>
      <c r="K11" t="s">
        <v>191</v>
      </c>
      <c r="L11" s="35">
        <v>7850</v>
      </c>
      <c r="M11" t="s">
        <v>78</v>
      </c>
    </row>
    <row r="12" spans="2:13" x14ac:dyDescent="0.35">
      <c r="B12" s="57" t="s">
        <v>16</v>
      </c>
      <c r="C12" s="59"/>
      <c r="D12" s="59"/>
      <c r="E12" s="59"/>
      <c r="F12" s="59"/>
      <c r="G12" s="59"/>
      <c r="H12" s="59"/>
      <c r="K12" t="s">
        <v>89</v>
      </c>
      <c r="L12" s="35">
        <v>55</v>
      </c>
      <c r="M12" t="s">
        <v>90</v>
      </c>
    </row>
    <row r="13" spans="2:13" ht="16.5" x14ac:dyDescent="0.35">
      <c r="B13" s="57" t="s">
        <v>50</v>
      </c>
      <c r="C13" s="59"/>
      <c r="D13" s="59"/>
      <c r="E13" s="59"/>
      <c r="F13" s="59"/>
      <c r="G13" s="59"/>
      <c r="H13" s="59"/>
      <c r="K13" t="s">
        <v>113</v>
      </c>
      <c r="L13" s="35">
        <v>2225</v>
      </c>
      <c r="M13" t="s">
        <v>78</v>
      </c>
    </row>
    <row r="14" spans="2:13" ht="16.5" x14ac:dyDescent="0.35">
      <c r="B14" s="57" t="s">
        <v>24</v>
      </c>
      <c r="C14" s="59"/>
      <c r="D14" s="59"/>
      <c r="E14" s="59"/>
      <c r="F14" s="59"/>
      <c r="G14" s="59"/>
      <c r="H14" s="59"/>
      <c r="K14" t="s">
        <v>115</v>
      </c>
      <c r="L14" s="35">
        <v>7830</v>
      </c>
      <c r="M14" t="s">
        <v>78</v>
      </c>
    </row>
    <row r="15" spans="2:13" ht="16.5" x14ac:dyDescent="0.35">
      <c r="B15" s="62" t="s">
        <v>74</v>
      </c>
      <c r="C15" s="35">
        <f>D15*L22</f>
        <v>710371.53791999992</v>
      </c>
      <c r="D15" s="36">
        <f>0.24*0.115*0.57*G15</f>
        <v>369.98517599999997</v>
      </c>
      <c r="E15" s="2"/>
      <c r="F15" s="2"/>
      <c r="G15" s="2">
        <v>23518</v>
      </c>
      <c r="H15" s="2"/>
      <c r="K15" t="s">
        <v>167</v>
      </c>
      <c r="L15" s="35">
        <v>1600</v>
      </c>
      <c r="M15" t="s">
        <v>78</v>
      </c>
    </row>
    <row r="16" spans="2:13" ht="16.5" x14ac:dyDescent="0.35">
      <c r="B16" s="57" t="s">
        <v>82</v>
      </c>
      <c r="C16" s="58"/>
      <c r="D16" s="59"/>
      <c r="E16" s="59"/>
      <c r="F16" s="59"/>
      <c r="G16" s="59"/>
      <c r="H16" s="59"/>
      <c r="K16" t="s">
        <v>168</v>
      </c>
      <c r="L16" s="35">
        <v>673</v>
      </c>
      <c r="M16" t="s">
        <v>78</v>
      </c>
    </row>
    <row r="17" spans="2:13" ht="16.5" x14ac:dyDescent="0.35">
      <c r="B17" s="62" t="s">
        <v>52</v>
      </c>
      <c r="C17" s="36">
        <f>D17*L19</f>
        <v>3057.3</v>
      </c>
      <c r="D17" s="2">
        <v>3.87</v>
      </c>
      <c r="E17" s="2"/>
      <c r="F17" s="2"/>
      <c r="G17" s="2"/>
      <c r="H17" s="2"/>
      <c r="K17" t="s">
        <v>169</v>
      </c>
      <c r="L17" s="35">
        <v>1906</v>
      </c>
      <c r="M17" t="s">
        <v>78</v>
      </c>
    </row>
    <row r="18" spans="2:13" ht="16.5" x14ac:dyDescent="0.35">
      <c r="B18" s="64" t="s">
        <v>92</v>
      </c>
      <c r="C18" s="72">
        <f>D18*L17</f>
        <v>66710</v>
      </c>
      <c r="D18" s="22">
        <v>35</v>
      </c>
      <c r="E18" s="52"/>
      <c r="F18" s="52"/>
      <c r="G18" s="52"/>
      <c r="H18" s="52"/>
      <c r="K18" t="s">
        <v>171</v>
      </c>
      <c r="L18" s="35">
        <v>2691</v>
      </c>
      <c r="M18" t="s">
        <v>78</v>
      </c>
    </row>
    <row r="19" spans="2:13" ht="16.5" x14ac:dyDescent="0.35">
      <c r="B19" s="63" t="s">
        <v>51</v>
      </c>
      <c r="C19" s="58"/>
      <c r="D19" s="59"/>
      <c r="E19" s="59"/>
      <c r="F19" s="59"/>
      <c r="G19" s="59"/>
      <c r="H19" s="59"/>
      <c r="K19" t="s">
        <v>173</v>
      </c>
      <c r="L19" s="35">
        <v>790</v>
      </c>
      <c r="M19" t="s">
        <v>78</v>
      </c>
    </row>
    <row r="20" spans="2:13" ht="16.5" x14ac:dyDescent="0.35">
      <c r="B20" s="63" t="s">
        <v>104</v>
      </c>
      <c r="C20" s="58"/>
      <c r="D20" s="59"/>
      <c r="E20" s="59"/>
      <c r="F20" s="59"/>
      <c r="G20" s="59"/>
      <c r="H20" s="59"/>
      <c r="K20" t="s">
        <v>180</v>
      </c>
      <c r="L20" s="35">
        <v>2800</v>
      </c>
      <c r="M20" t="s">
        <v>78</v>
      </c>
    </row>
    <row r="21" spans="2:13" x14ac:dyDescent="0.35">
      <c r="B21" s="62" t="s">
        <v>70</v>
      </c>
      <c r="C21" s="36">
        <f>F21*55</f>
        <v>220</v>
      </c>
      <c r="D21" s="33">
        <f>C21/L11</f>
        <v>2.802547770700637E-2</v>
      </c>
      <c r="E21" s="2"/>
      <c r="F21" s="2">
        <v>4</v>
      </c>
      <c r="G21" s="2"/>
      <c r="H21" s="2"/>
      <c r="K21" t="s">
        <v>174</v>
      </c>
      <c r="L21" t="s">
        <v>175</v>
      </c>
      <c r="M21" t="s">
        <v>116</v>
      </c>
    </row>
    <row r="22" spans="2:13" ht="16.5" x14ac:dyDescent="0.35">
      <c r="B22" s="22" t="s">
        <v>95</v>
      </c>
      <c r="C22" s="87">
        <f>D22*L11</f>
        <v>27.475000000000001</v>
      </c>
      <c r="D22" s="2">
        <f>H22*0.4/1000*875/1000</f>
        <v>3.5000000000000001E-3</v>
      </c>
      <c r="E22" s="2"/>
      <c r="F22" s="2"/>
      <c r="G22" s="2"/>
      <c r="H22" s="2">
        <v>10</v>
      </c>
      <c r="K22" t="s">
        <v>182</v>
      </c>
      <c r="L22" s="38">
        <v>1920</v>
      </c>
      <c r="M22" t="s">
        <v>78</v>
      </c>
    </row>
    <row r="23" spans="2:13" ht="16.5" x14ac:dyDescent="0.35">
      <c r="B23" s="57" t="s">
        <v>101</v>
      </c>
      <c r="C23" s="59"/>
      <c r="D23" s="59"/>
      <c r="E23" s="59"/>
      <c r="F23" s="59"/>
      <c r="G23" s="59"/>
      <c r="H23" s="59"/>
      <c r="K23" t="s">
        <v>184</v>
      </c>
      <c r="L23" s="35">
        <v>1600</v>
      </c>
      <c r="M23" t="s">
        <v>78</v>
      </c>
    </row>
    <row r="24" spans="2:13" x14ac:dyDescent="0.35">
      <c r="B24" s="57" t="s">
        <v>103</v>
      </c>
      <c r="C24" s="59"/>
      <c r="D24" s="59"/>
      <c r="E24" s="59"/>
      <c r="F24" s="59"/>
      <c r="G24" s="59"/>
      <c r="H24" s="59"/>
      <c r="K24" t="s">
        <v>186</v>
      </c>
      <c r="L24" t="s">
        <v>187</v>
      </c>
      <c r="M24" t="s">
        <v>188</v>
      </c>
    </row>
    <row r="25" spans="2:13" x14ac:dyDescent="0.35">
      <c r="B25" s="57" t="s">
        <v>121</v>
      </c>
      <c r="C25" s="59"/>
      <c r="D25" s="59"/>
      <c r="E25" s="59"/>
      <c r="F25" s="59"/>
      <c r="G25" s="59"/>
      <c r="H25" s="59"/>
      <c r="K25" t="s">
        <v>189</v>
      </c>
      <c r="L25" s="78" t="s">
        <v>196</v>
      </c>
      <c r="M25" t="s">
        <v>190</v>
      </c>
    </row>
    <row r="26" spans="2:13" x14ac:dyDescent="0.35">
      <c r="B26" s="57" t="s">
        <v>120</v>
      </c>
      <c r="C26" s="59"/>
      <c r="D26" s="59"/>
      <c r="E26" s="59"/>
      <c r="F26" s="59"/>
      <c r="G26" s="59"/>
      <c r="H26" s="59"/>
      <c r="K26" t="s">
        <v>234</v>
      </c>
      <c r="L26">
        <v>0.35</v>
      </c>
      <c r="M26" t="s">
        <v>116</v>
      </c>
    </row>
    <row r="27" spans="2:13" x14ac:dyDescent="0.35">
      <c r="B27" s="57" t="s">
        <v>93</v>
      </c>
      <c r="C27" s="59"/>
      <c r="D27" s="59"/>
      <c r="E27" s="59"/>
      <c r="F27" s="59"/>
      <c r="G27" s="59"/>
      <c r="H27" s="59"/>
    </row>
  </sheetData>
  <mergeCells count="1">
    <mergeCell ref="B4:C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8"/>
  <sheetViews>
    <sheetView topLeftCell="A14" workbookViewId="0">
      <selection activeCell="D21" sqref="D21"/>
    </sheetView>
  </sheetViews>
  <sheetFormatPr defaultRowHeight="14.5" x14ac:dyDescent="0.35"/>
  <cols>
    <col min="1" max="1" width="10.36328125" bestFit="1" customWidth="1"/>
    <col min="2" max="2" width="29.26953125" bestFit="1" customWidth="1"/>
    <col min="3" max="3" width="12.1796875" bestFit="1" customWidth="1"/>
    <col min="4" max="4" width="17.1796875" customWidth="1"/>
    <col min="5" max="5" width="17.1796875" bestFit="1" customWidth="1"/>
    <col min="6" max="6" width="10.453125" customWidth="1"/>
    <col min="7" max="7" width="11.26953125" bestFit="1" customWidth="1"/>
    <col min="10" max="10" width="22.1796875" bestFit="1" customWidth="1"/>
  </cols>
  <sheetData>
    <row r="2" spans="2:12" ht="18.5" x14ac:dyDescent="0.45">
      <c r="B2" s="55" t="s">
        <v>130</v>
      </c>
    </row>
    <row r="4" spans="2:12" x14ac:dyDescent="0.35">
      <c r="B4" s="99" t="s">
        <v>124</v>
      </c>
      <c r="C4" s="99"/>
      <c r="I4" s="32"/>
      <c r="J4" s="32"/>
      <c r="K4" s="32"/>
      <c r="L4" s="32"/>
    </row>
    <row r="5" spans="2:12" x14ac:dyDescent="0.35">
      <c r="B5" s="60" t="s">
        <v>72</v>
      </c>
      <c r="C5" s="65">
        <v>1</v>
      </c>
      <c r="I5" s="32"/>
      <c r="J5" s="32"/>
      <c r="K5" s="32"/>
      <c r="L5" s="32"/>
    </row>
    <row r="6" spans="2:12" ht="16.5" x14ac:dyDescent="0.35">
      <c r="B6" s="2" t="s">
        <v>73</v>
      </c>
      <c r="C6" s="2">
        <f>5.4*2.8+1.7*1.6</f>
        <v>17.84</v>
      </c>
    </row>
    <row r="7" spans="2:12" ht="16.5" x14ac:dyDescent="0.35">
      <c r="B7" s="2" t="s">
        <v>106</v>
      </c>
      <c r="C7" s="2">
        <f>1.7*3.7</f>
        <v>6.29</v>
      </c>
    </row>
    <row r="8" spans="2:12" ht="16.5" x14ac:dyDescent="0.35">
      <c r="B8" s="60" t="s">
        <v>109</v>
      </c>
      <c r="C8" s="60">
        <f>C6+C7</f>
        <v>24.13</v>
      </c>
    </row>
    <row r="9" spans="2:12" x14ac:dyDescent="0.35">
      <c r="J9" s="24" t="s">
        <v>81</v>
      </c>
    </row>
    <row r="10" spans="2:12" ht="16.5" x14ac:dyDescent="0.35">
      <c r="B10" s="7" t="s">
        <v>71</v>
      </c>
      <c r="C10" s="7" t="s">
        <v>76</v>
      </c>
      <c r="D10" s="7" t="s">
        <v>2</v>
      </c>
      <c r="E10" s="7" t="s">
        <v>79</v>
      </c>
      <c r="F10" s="7" t="s">
        <v>100</v>
      </c>
      <c r="G10" s="7" t="s">
        <v>80</v>
      </c>
      <c r="H10" s="7" t="s">
        <v>102</v>
      </c>
      <c r="I10" s="32"/>
      <c r="J10" s="35" t="s">
        <v>192</v>
      </c>
      <c r="K10" s="35">
        <v>1440</v>
      </c>
      <c r="L10" t="s">
        <v>78</v>
      </c>
    </row>
    <row r="11" spans="2:12" ht="16.5" x14ac:dyDescent="0.35">
      <c r="B11" s="62" t="s">
        <v>17</v>
      </c>
      <c r="C11" s="36">
        <f>E11*50</f>
        <v>1210</v>
      </c>
      <c r="D11" s="33">
        <f>C11/'CSEB 2F'!K10</f>
        <v>0.84027777777777779</v>
      </c>
      <c r="E11" s="2">
        <v>24.2</v>
      </c>
      <c r="F11" s="36"/>
      <c r="G11" s="2"/>
      <c r="H11" s="2"/>
      <c r="J11" t="s">
        <v>191</v>
      </c>
      <c r="K11" s="35">
        <v>7850</v>
      </c>
      <c r="L11" t="s">
        <v>78</v>
      </c>
    </row>
    <row r="12" spans="2:12" x14ac:dyDescent="0.35">
      <c r="B12" s="57" t="s">
        <v>16</v>
      </c>
      <c r="C12" s="58"/>
      <c r="D12" s="68">
        <v>0</v>
      </c>
      <c r="E12" s="59"/>
      <c r="F12" s="59"/>
      <c r="G12" s="59"/>
      <c r="H12" s="59"/>
      <c r="I12" s="32"/>
      <c r="J12" t="s">
        <v>89</v>
      </c>
      <c r="K12" s="35">
        <v>55</v>
      </c>
      <c r="L12" t="s">
        <v>90</v>
      </c>
    </row>
    <row r="13" spans="2:12" ht="16.5" x14ac:dyDescent="0.35">
      <c r="B13" s="62" t="s">
        <v>50</v>
      </c>
      <c r="C13" s="36">
        <f>D13*K15</f>
        <v>5920</v>
      </c>
      <c r="D13" s="33">
        <v>3.7</v>
      </c>
      <c r="E13" s="2"/>
      <c r="F13" s="2"/>
      <c r="G13" s="2"/>
      <c r="H13" s="2"/>
      <c r="J13" t="s">
        <v>113</v>
      </c>
      <c r="K13" s="35">
        <v>2225</v>
      </c>
      <c r="L13" t="s">
        <v>78</v>
      </c>
    </row>
    <row r="14" spans="2:12" ht="16.5" x14ac:dyDescent="0.35">
      <c r="B14" s="62" t="s">
        <v>24</v>
      </c>
      <c r="C14" s="36">
        <v>237.3</v>
      </c>
      <c r="D14" s="33">
        <f>C14/'CSEB 2F'!K11</f>
        <v>3.0229299363057325E-2</v>
      </c>
      <c r="E14" s="2"/>
      <c r="F14" s="2"/>
      <c r="G14" s="2"/>
      <c r="H14" s="2"/>
      <c r="I14" s="32"/>
      <c r="J14" t="s">
        <v>115</v>
      </c>
      <c r="K14" s="35">
        <v>7830</v>
      </c>
      <c r="L14" t="s">
        <v>78</v>
      </c>
    </row>
    <row r="15" spans="2:12" ht="16.5" x14ac:dyDescent="0.35">
      <c r="B15" s="57" t="s">
        <v>74</v>
      </c>
      <c r="C15" s="58"/>
      <c r="D15" s="68"/>
      <c r="E15" s="59"/>
      <c r="F15" s="59"/>
      <c r="G15" s="59"/>
      <c r="H15" s="59"/>
      <c r="J15" t="s">
        <v>167</v>
      </c>
      <c r="K15" s="35">
        <v>1600</v>
      </c>
      <c r="L15" t="s">
        <v>78</v>
      </c>
    </row>
    <row r="16" spans="2:12" ht="16.5" x14ac:dyDescent="0.35">
      <c r="B16" s="62" t="s">
        <v>82</v>
      </c>
      <c r="C16" s="36">
        <f>D16*K13</f>
        <v>43494.3</v>
      </c>
      <c r="D16" s="23">
        <f>0.3*0.2*0.1*F16</f>
        <v>19.548000000000002</v>
      </c>
      <c r="E16" s="2"/>
      <c r="F16" s="2">
        <v>3258</v>
      </c>
      <c r="G16" s="2"/>
      <c r="H16" s="2"/>
      <c r="I16" s="32"/>
      <c r="J16" t="s">
        <v>168</v>
      </c>
      <c r="K16" s="35">
        <v>673</v>
      </c>
      <c r="L16" t="s">
        <v>78</v>
      </c>
    </row>
    <row r="17" spans="2:12" ht="16.5" x14ac:dyDescent="0.35">
      <c r="B17" s="62" t="s">
        <v>52</v>
      </c>
      <c r="C17" s="36"/>
      <c r="D17" s="33">
        <v>2.6</v>
      </c>
      <c r="E17" s="2"/>
      <c r="F17" s="2"/>
      <c r="G17" s="2"/>
      <c r="H17" s="2"/>
      <c r="J17" t="s">
        <v>169</v>
      </c>
      <c r="K17" s="35">
        <v>1906</v>
      </c>
      <c r="L17" t="s">
        <v>78</v>
      </c>
    </row>
    <row r="18" spans="2:12" ht="16.5" x14ac:dyDescent="0.35">
      <c r="B18" s="63" t="s">
        <v>92</v>
      </c>
      <c r="C18" s="58"/>
      <c r="D18" s="68"/>
      <c r="E18" s="59"/>
      <c r="F18" s="59"/>
      <c r="G18" s="59"/>
      <c r="H18" s="59"/>
      <c r="J18" t="s">
        <v>171</v>
      </c>
      <c r="K18" s="35">
        <v>2691</v>
      </c>
      <c r="L18" t="s">
        <v>78</v>
      </c>
    </row>
    <row r="19" spans="2:12" ht="16.5" x14ac:dyDescent="0.35">
      <c r="B19" s="63" t="s">
        <v>51</v>
      </c>
      <c r="C19" s="58"/>
      <c r="D19" s="68"/>
      <c r="E19" s="59"/>
      <c r="F19" s="59"/>
      <c r="G19" s="59"/>
      <c r="H19" s="59"/>
      <c r="J19" t="s">
        <v>173</v>
      </c>
      <c r="K19" s="35">
        <v>790</v>
      </c>
      <c r="L19" t="s">
        <v>78</v>
      </c>
    </row>
    <row r="20" spans="2:12" ht="16.5" x14ac:dyDescent="0.35">
      <c r="B20" s="64" t="s">
        <v>104</v>
      </c>
      <c r="C20" s="36">
        <f>D20*K16</f>
        <v>1672.4048579899504</v>
      </c>
      <c r="D20" s="23">
        <f>10*(PI()*(POWER(0.075,2)-POWER(0.065,2)))*F20</f>
        <v>2.484999788989525</v>
      </c>
      <c r="E20" s="2"/>
      <c r="F20" s="2">
        <v>56.5</v>
      </c>
      <c r="G20" s="2"/>
      <c r="H20" s="2"/>
      <c r="J20" t="s">
        <v>180</v>
      </c>
      <c r="K20" s="35">
        <v>2800</v>
      </c>
      <c r="L20" t="s">
        <v>78</v>
      </c>
    </row>
    <row r="21" spans="2:12" x14ac:dyDescent="0.35">
      <c r="B21" s="135" t="s">
        <v>70</v>
      </c>
      <c r="C21" s="136"/>
      <c r="D21" s="137"/>
      <c r="E21" s="138"/>
      <c r="F21" s="138"/>
      <c r="G21" s="138"/>
      <c r="H21" s="138"/>
      <c r="J21" t="s">
        <v>174</v>
      </c>
      <c r="K21" t="s">
        <v>175</v>
      </c>
      <c r="L21" t="s">
        <v>116</v>
      </c>
    </row>
    <row r="22" spans="2:12" ht="16.5" x14ac:dyDescent="0.35">
      <c r="B22" s="62" t="s">
        <v>95</v>
      </c>
      <c r="C22" s="36">
        <f>D22*K11</f>
        <v>26.925500000000007</v>
      </c>
      <c r="D22" s="134">
        <f>H22*0.4/1000*875/1000</f>
        <v>3.4300000000000008E-3</v>
      </c>
      <c r="E22" s="2"/>
      <c r="F22" s="2"/>
      <c r="G22" s="2"/>
      <c r="H22" s="2">
        <v>9.8000000000000007</v>
      </c>
      <c r="J22" t="s">
        <v>182</v>
      </c>
      <c r="K22" s="38">
        <v>1920</v>
      </c>
      <c r="L22" t="s">
        <v>78</v>
      </c>
    </row>
    <row r="23" spans="2:12" ht="16.5" x14ac:dyDescent="0.35">
      <c r="B23" s="57" t="s">
        <v>101</v>
      </c>
      <c r="C23" s="58"/>
      <c r="D23" s="59"/>
      <c r="E23" s="59"/>
      <c r="F23" s="59"/>
      <c r="G23" s="59"/>
      <c r="H23" s="59"/>
      <c r="J23" t="s">
        <v>184</v>
      </c>
      <c r="K23" s="35">
        <v>1600</v>
      </c>
      <c r="L23" t="s">
        <v>78</v>
      </c>
    </row>
    <row r="24" spans="2:12" x14ac:dyDescent="0.35">
      <c r="B24" s="57" t="s">
        <v>126</v>
      </c>
      <c r="C24" s="58"/>
      <c r="D24" s="59"/>
      <c r="E24" s="59"/>
      <c r="F24" s="59"/>
      <c r="G24" s="59"/>
      <c r="H24" s="59"/>
      <c r="J24" t="s">
        <v>186</v>
      </c>
      <c r="K24" t="s">
        <v>187</v>
      </c>
      <c r="L24" t="s">
        <v>188</v>
      </c>
    </row>
    <row r="25" spans="2:12" x14ac:dyDescent="0.35">
      <c r="B25" s="57" t="s">
        <v>121</v>
      </c>
      <c r="C25" s="58"/>
      <c r="D25" s="59"/>
      <c r="E25" s="59"/>
      <c r="F25" s="59"/>
      <c r="G25" s="59"/>
      <c r="H25" s="59"/>
      <c r="J25" t="s">
        <v>189</v>
      </c>
      <c r="K25" s="78" t="s">
        <v>196</v>
      </c>
      <c r="L25" t="s">
        <v>190</v>
      </c>
    </row>
    <row r="26" spans="2:12" x14ac:dyDescent="0.35">
      <c r="B26" s="57" t="s">
        <v>120</v>
      </c>
      <c r="C26" s="58"/>
      <c r="D26" s="59"/>
      <c r="E26" s="59"/>
      <c r="F26" s="59"/>
      <c r="G26" s="59"/>
      <c r="H26" s="59"/>
      <c r="J26" t="s">
        <v>118</v>
      </c>
      <c r="K26">
        <v>10</v>
      </c>
      <c r="L26" t="s">
        <v>198</v>
      </c>
    </row>
    <row r="27" spans="2:12" x14ac:dyDescent="0.35">
      <c r="B27" s="57" t="s">
        <v>93</v>
      </c>
      <c r="C27" s="58"/>
      <c r="D27" s="59"/>
      <c r="E27" s="59"/>
      <c r="F27" s="59"/>
      <c r="G27" s="59"/>
      <c r="H27" s="59"/>
      <c r="J27" t="s">
        <v>117</v>
      </c>
      <c r="K27">
        <v>75</v>
      </c>
      <c r="L27" t="s">
        <v>116</v>
      </c>
    </row>
    <row r="28" spans="2:12" x14ac:dyDescent="0.35">
      <c r="J28" t="s">
        <v>199</v>
      </c>
      <c r="K28">
        <v>10</v>
      </c>
      <c r="L28" t="s">
        <v>116</v>
      </c>
    </row>
  </sheetData>
  <mergeCells count="1">
    <mergeCell ref="B4:C4"/>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9"/>
  <sheetViews>
    <sheetView topLeftCell="A11" workbookViewId="0">
      <selection activeCell="C22" sqref="C22"/>
    </sheetView>
  </sheetViews>
  <sheetFormatPr defaultRowHeight="14.5" x14ac:dyDescent="0.35"/>
  <cols>
    <col min="1" max="1" width="10.36328125" bestFit="1" customWidth="1"/>
    <col min="2" max="2" width="29.26953125" bestFit="1" customWidth="1"/>
    <col min="3" max="3" width="12.1796875" bestFit="1" customWidth="1"/>
    <col min="4" max="4" width="17.1796875" customWidth="1"/>
    <col min="5" max="5" width="17.1796875" bestFit="1" customWidth="1"/>
    <col min="6" max="6" width="10.453125" customWidth="1"/>
    <col min="7" max="7" width="11.26953125" bestFit="1" customWidth="1"/>
    <col min="10" max="10" width="22.1796875" bestFit="1" customWidth="1"/>
  </cols>
  <sheetData>
    <row r="2" spans="2:12" ht="18.5" x14ac:dyDescent="0.45">
      <c r="B2" s="55" t="s">
        <v>129</v>
      </c>
    </row>
    <row r="4" spans="2:12" x14ac:dyDescent="0.35">
      <c r="B4" s="100" t="s">
        <v>124</v>
      </c>
      <c r="C4" s="101"/>
      <c r="D4" s="31"/>
      <c r="E4" s="31"/>
      <c r="F4" s="31"/>
      <c r="G4" s="31"/>
      <c r="H4" s="32"/>
      <c r="I4" s="32"/>
      <c r="J4" s="32"/>
      <c r="K4" s="32"/>
      <c r="L4" s="32"/>
    </row>
    <row r="5" spans="2:12" x14ac:dyDescent="0.35">
      <c r="B5" s="60" t="s">
        <v>72</v>
      </c>
      <c r="C5" s="65">
        <v>1</v>
      </c>
      <c r="D5" s="31"/>
      <c r="E5" s="31"/>
      <c r="F5" s="31"/>
      <c r="G5" s="31"/>
      <c r="H5" s="32"/>
      <c r="I5" s="32"/>
      <c r="J5" s="32"/>
      <c r="K5" s="32"/>
      <c r="L5" s="32"/>
    </row>
    <row r="6" spans="2:12" ht="16.5" x14ac:dyDescent="0.35">
      <c r="B6" s="2" t="s">
        <v>73</v>
      </c>
      <c r="C6" s="33">
        <f>3.96*2*3.275</f>
        <v>25.937999999999999</v>
      </c>
      <c r="D6" s="31"/>
      <c r="E6" s="31"/>
      <c r="F6" s="31"/>
      <c r="G6" s="31"/>
      <c r="H6" s="32"/>
    </row>
    <row r="7" spans="2:12" ht="16.5" x14ac:dyDescent="0.35">
      <c r="B7" s="2" t="s">
        <v>106</v>
      </c>
      <c r="C7" s="33">
        <v>0</v>
      </c>
      <c r="D7" s="31"/>
      <c r="E7" s="31"/>
      <c r="F7" s="31"/>
      <c r="G7" s="31"/>
      <c r="H7" s="32"/>
    </row>
    <row r="8" spans="2:12" ht="16.5" x14ac:dyDescent="0.35">
      <c r="B8" s="60" t="s">
        <v>109</v>
      </c>
      <c r="C8" s="61">
        <f>C6+C7</f>
        <v>25.937999999999999</v>
      </c>
      <c r="D8" s="31"/>
      <c r="E8" s="31"/>
      <c r="F8" s="31"/>
      <c r="G8" s="31"/>
      <c r="H8" s="32"/>
    </row>
    <row r="9" spans="2:12" x14ac:dyDescent="0.35">
      <c r="J9" s="24" t="s">
        <v>81</v>
      </c>
    </row>
    <row r="10" spans="2:12" ht="16.5" x14ac:dyDescent="0.35">
      <c r="B10" s="7" t="s">
        <v>71</v>
      </c>
      <c r="C10" s="7" t="s">
        <v>76</v>
      </c>
      <c r="D10" s="7" t="s">
        <v>2</v>
      </c>
      <c r="E10" s="7" t="s">
        <v>79</v>
      </c>
      <c r="F10" s="7" t="s">
        <v>100</v>
      </c>
      <c r="G10" s="7" t="s">
        <v>80</v>
      </c>
      <c r="H10" s="7" t="s">
        <v>102</v>
      </c>
      <c r="I10" s="32"/>
      <c r="J10" s="35" t="s">
        <v>192</v>
      </c>
      <c r="K10" s="35">
        <v>1440</v>
      </c>
      <c r="L10" t="s">
        <v>78</v>
      </c>
    </row>
    <row r="11" spans="2:12" ht="16.5" x14ac:dyDescent="0.35">
      <c r="B11" s="62" t="s">
        <v>17</v>
      </c>
      <c r="C11" s="36">
        <f>E11*50</f>
        <v>919.99999999999989</v>
      </c>
      <c r="D11" s="33">
        <f>C11/K10</f>
        <v>0.63888888888888884</v>
      </c>
      <c r="E11" s="2">
        <v>18.399999999999999</v>
      </c>
      <c r="F11" s="2"/>
      <c r="G11" s="2"/>
      <c r="H11" s="2"/>
      <c r="J11" t="s">
        <v>191</v>
      </c>
      <c r="K11" s="35">
        <v>7850</v>
      </c>
      <c r="L11" t="s">
        <v>78</v>
      </c>
    </row>
    <row r="12" spans="2:12" x14ac:dyDescent="0.35">
      <c r="B12" s="62" t="s">
        <v>16</v>
      </c>
      <c r="C12" s="36">
        <f>D12*K15</f>
        <v>3200</v>
      </c>
      <c r="D12" s="2">
        <v>2</v>
      </c>
      <c r="E12" s="2"/>
      <c r="F12" s="36"/>
      <c r="G12" s="2"/>
      <c r="H12" s="2"/>
      <c r="I12" s="32"/>
      <c r="J12" t="s">
        <v>89</v>
      </c>
      <c r="K12" s="35">
        <v>55</v>
      </c>
      <c r="L12" t="s">
        <v>90</v>
      </c>
    </row>
    <row r="13" spans="2:12" ht="16.5" x14ac:dyDescent="0.35">
      <c r="B13" s="62" t="s">
        <v>50</v>
      </c>
      <c r="C13" s="36">
        <f>K15*D13</f>
        <v>1600</v>
      </c>
      <c r="D13" s="2">
        <v>1</v>
      </c>
      <c r="E13" s="2"/>
      <c r="F13" s="2"/>
      <c r="G13" s="2"/>
      <c r="H13" s="2"/>
      <c r="J13" t="s">
        <v>113</v>
      </c>
      <c r="K13" s="35">
        <v>2225</v>
      </c>
      <c r="L13" t="s">
        <v>78</v>
      </c>
    </row>
    <row r="14" spans="2:12" ht="16.5" x14ac:dyDescent="0.35">
      <c r="B14" s="62" t="s">
        <v>24</v>
      </c>
      <c r="C14" s="36">
        <v>237.3</v>
      </c>
      <c r="D14" s="33">
        <f>C14/K11</f>
        <v>3.0229299363057325E-2</v>
      </c>
      <c r="E14" s="2"/>
      <c r="F14" s="2"/>
      <c r="G14" s="2"/>
      <c r="H14" s="2"/>
      <c r="I14" s="32"/>
      <c r="J14" t="s">
        <v>115</v>
      </c>
      <c r="K14" s="35">
        <v>7830</v>
      </c>
      <c r="L14" t="s">
        <v>78</v>
      </c>
    </row>
    <row r="15" spans="2:12" ht="16.5" x14ac:dyDescent="0.35">
      <c r="B15" s="57" t="s">
        <v>74</v>
      </c>
      <c r="C15" s="58"/>
      <c r="D15" s="59"/>
      <c r="E15" s="59"/>
      <c r="F15" s="59"/>
      <c r="G15" s="59"/>
      <c r="H15" s="59"/>
      <c r="J15" t="s">
        <v>167</v>
      </c>
      <c r="K15" s="35">
        <v>1600</v>
      </c>
      <c r="L15" t="s">
        <v>78</v>
      </c>
    </row>
    <row r="16" spans="2:12" ht="16.5" x14ac:dyDescent="0.35">
      <c r="B16" s="57" t="s">
        <v>82</v>
      </c>
      <c r="C16" s="58"/>
      <c r="D16" s="59"/>
      <c r="E16" s="59"/>
      <c r="F16" s="59"/>
      <c r="G16" s="59"/>
      <c r="H16" s="59"/>
      <c r="I16" s="32"/>
      <c r="J16" t="s">
        <v>168</v>
      </c>
      <c r="K16" s="35">
        <v>673</v>
      </c>
      <c r="L16" t="s">
        <v>78</v>
      </c>
    </row>
    <row r="17" spans="2:12" ht="16.5" x14ac:dyDescent="0.35">
      <c r="B17" s="62" t="s">
        <v>52</v>
      </c>
      <c r="C17" s="36">
        <f>K19*D17</f>
        <v>2291</v>
      </c>
      <c r="D17" s="2">
        <v>2.9</v>
      </c>
      <c r="E17" s="2"/>
      <c r="F17" s="2"/>
      <c r="G17" s="2"/>
      <c r="H17" s="2"/>
      <c r="J17" t="s">
        <v>169</v>
      </c>
      <c r="K17" s="35">
        <v>1906</v>
      </c>
      <c r="L17" t="s">
        <v>78</v>
      </c>
    </row>
    <row r="18" spans="2:12" ht="16.5" x14ac:dyDescent="0.35">
      <c r="B18" s="63" t="s">
        <v>92</v>
      </c>
      <c r="C18" s="58"/>
      <c r="D18" s="59"/>
      <c r="E18" s="59"/>
      <c r="F18" s="59"/>
      <c r="G18" s="59"/>
      <c r="H18" s="59"/>
      <c r="J18" t="s">
        <v>171</v>
      </c>
      <c r="K18" s="35">
        <v>2691</v>
      </c>
      <c r="L18" t="s">
        <v>78</v>
      </c>
    </row>
    <row r="19" spans="2:12" ht="16.5" x14ac:dyDescent="0.35">
      <c r="B19" s="64" t="s">
        <v>51</v>
      </c>
      <c r="C19" s="72">
        <f>D19*K18</f>
        <v>33099.300000000003</v>
      </c>
      <c r="D19" s="22">
        <v>12.3</v>
      </c>
      <c r="E19" s="52"/>
      <c r="F19" s="52"/>
      <c r="G19" s="52"/>
      <c r="H19" s="52"/>
      <c r="J19" t="s">
        <v>173</v>
      </c>
      <c r="K19" s="35">
        <v>790</v>
      </c>
      <c r="L19" t="s">
        <v>78</v>
      </c>
    </row>
    <row r="20" spans="2:12" ht="16.5" x14ac:dyDescent="0.35">
      <c r="B20" s="63" t="s">
        <v>104</v>
      </c>
      <c r="C20" s="58"/>
      <c r="D20" s="59"/>
      <c r="E20" s="59"/>
      <c r="F20" s="59"/>
      <c r="G20" s="59"/>
      <c r="H20" s="59"/>
      <c r="J20" t="s">
        <v>180</v>
      </c>
      <c r="K20" s="35">
        <v>2800</v>
      </c>
      <c r="L20" t="s">
        <v>78</v>
      </c>
    </row>
    <row r="21" spans="2:12" x14ac:dyDescent="0.35">
      <c r="B21" s="62" t="s">
        <v>70</v>
      </c>
      <c r="C21" s="36">
        <f>55*G21</f>
        <v>231</v>
      </c>
      <c r="D21" s="33">
        <f>C21/K13</f>
        <v>0.10382022471910113</v>
      </c>
      <c r="E21" s="2"/>
      <c r="F21" s="2"/>
      <c r="G21" s="2">
        <v>4.2</v>
      </c>
      <c r="H21" s="2"/>
      <c r="J21" t="s">
        <v>174</v>
      </c>
      <c r="K21" t="s">
        <v>175</v>
      </c>
      <c r="L21" t="s">
        <v>116</v>
      </c>
    </row>
    <row r="22" spans="2:12" ht="16.5" x14ac:dyDescent="0.35">
      <c r="B22" s="62" t="s">
        <v>95</v>
      </c>
      <c r="C22" s="87">
        <f>D22*K11</f>
        <v>21.980000000000004</v>
      </c>
      <c r="D22" s="22">
        <f>H22*0.4/1000*875/1000</f>
        <v>2.8000000000000004E-3</v>
      </c>
      <c r="E22" s="2"/>
      <c r="F22" s="2"/>
      <c r="G22" s="2"/>
      <c r="H22" s="2">
        <v>8</v>
      </c>
      <c r="J22" t="s">
        <v>182</v>
      </c>
      <c r="K22" s="38">
        <v>1920</v>
      </c>
      <c r="L22" t="s">
        <v>78</v>
      </c>
    </row>
    <row r="23" spans="2:12" ht="16.5" x14ac:dyDescent="0.35">
      <c r="B23" s="57" t="s">
        <v>101</v>
      </c>
      <c r="C23" s="58"/>
      <c r="D23" s="59"/>
      <c r="E23" s="59"/>
      <c r="F23" s="59"/>
      <c r="G23" s="59"/>
      <c r="H23" s="59"/>
      <c r="J23" t="s">
        <v>184</v>
      </c>
      <c r="K23" s="35">
        <v>1600</v>
      </c>
      <c r="L23" t="s">
        <v>78</v>
      </c>
    </row>
    <row r="24" spans="2:12" x14ac:dyDescent="0.35">
      <c r="B24" s="57" t="s">
        <v>126</v>
      </c>
      <c r="C24" s="58"/>
      <c r="D24" s="59"/>
      <c r="E24" s="59"/>
      <c r="F24" s="59"/>
      <c r="G24" s="59"/>
      <c r="H24" s="59"/>
      <c r="J24" t="s">
        <v>186</v>
      </c>
      <c r="K24" t="s">
        <v>187</v>
      </c>
      <c r="L24" t="s">
        <v>188</v>
      </c>
    </row>
    <row r="25" spans="2:12" x14ac:dyDescent="0.35">
      <c r="B25" s="57" t="s">
        <v>121</v>
      </c>
      <c r="C25" s="58"/>
      <c r="D25" s="59"/>
      <c r="E25" s="59"/>
      <c r="F25" s="59"/>
      <c r="G25" s="59"/>
      <c r="H25" s="59"/>
      <c r="J25" t="s">
        <v>189</v>
      </c>
      <c r="K25" s="78" t="s">
        <v>196</v>
      </c>
      <c r="L25" t="s">
        <v>190</v>
      </c>
    </row>
    <row r="26" spans="2:12" x14ac:dyDescent="0.35">
      <c r="B26" s="62" t="s">
        <v>120</v>
      </c>
      <c r="C26" s="87">
        <f>D26*K29</f>
        <v>40290</v>
      </c>
      <c r="D26" s="2">
        <v>25.5</v>
      </c>
      <c r="E26" s="2"/>
      <c r="F26" s="2"/>
      <c r="G26" s="2"/>
      <c r="H26" s="2"/>
      <c r="J26" t="s">
        <v>118</v>
      </c>
      <c r="K26">
        <v>10</v>
      </c>
      <c r="L26" t="s">
        <v>198</v>
      </c>
    </row>
    <row r="27" spans="2:12" x14ac:dyDescent="0.35">
      <c r="B27" s="57" t="s">
        <v>93</v>
      </c>
      <c r="C27" s="58"/>
      <c r="D27" s="59"/>
      <c r="E27" s="59"/>
      <c r="F27" s="59"/>
      <c r="G27" s="59"/>
      <c r="H27" s="59"/>
      <c r="J27" t="s">
        <v>117</v>
      </c>
      <c r="K27">
        <v>75</v>
      </c>
      <c r="L27" t="s">
        <v>116</v>
      </c>
    </row>
    <row r="28" spans="2:12" x14ac:dyDescent="0.35">
      <c r="J28" t="s">
        <v>199</v>
      </c>
      <c r="K28">
        <v>10</v>
      </c>
      <c r="L28" t="s">
        <v>116</v>
      </c>
    </row>
    <row r="29" spans="2:12" ht="16.5" x14ac:dyDescent="0.35">
      <c r="J29" t="s">
        <v>201</v>
      </c>
      <c r="K29">
        <v>1580</v>
      </c>
      <c r="L29" t="s">
        <v>78</v>
      </c>
    </row>
  </sheetData>
  <mergeCells count="1">
    <mergeCell ref="B4:C4"/>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28"/>
  <sheetViews>
    <sheetView topLeftCell="A11" workbookViewId="0">
      <selection activeCell="C22" sqref="C22"/>
    </sheetView>
  </sheetViews>
  <sheetFormatPr defaultRowHeight="14.5" x14ac:dyDescent="0.35"/>
  <cols>
    <col min="1" max="1" width="10.36328125" bestFit="1" customWidth="1"/>
    <col min="2" max="2" width="15.81640625" customWidth="1"/>
    <col min="3" max="3" width="12.1796875" bestFit="1" customWidth="1"/>
    <col min="4" max="4" width="12.1796875" customWidth="1"/>
    <col min="5" max="5" width="17.1796875" bestFit="1" customWidth="1"/>
    <col min="6" max="6" width="11.26953125" bestFit="1" customWidth="1"/>
    <col min="9" max="9" width="22.1796875" bestFit="1" customWidth="1"/>
    <col min="10" max="10" width="10.6328125" bestFit="1" customWidth="1"/>
  </cols>
  <sheetData>
    <row r="2" spans="2:11" ht="18.5" x14ac:dyDescent="0.45">
      <c r="B2" s="55" t="s">
        <v>135</v>
      </c>
    </row>
    <row r="4" spans="2:11" x14ac:dyDescent="0.35">
      <c r="B4" s="100" t="s">
        <v>124</v>
      </c>
      <c r="C4" s="101"/>
      <c r="D4" s="31"/>
      <c r="E4" s="31"/>
      <c r="F4" s="31"/>
      <c r="G4" s="32"/>
      <c r="H4" s="32"/>
      <c r="I4" s="32"/>
      <c r="J4" s="32"/>
      <c r="K4" s="32"/>
    </row>
    <row r="5" spans="2:11" x14ac:dyDescent="0.35">
      <c r="B5" s="2" t="s">
        <v>72</v>
      </c>
      <c r="C5" s="34">
        <v>2</v>
      </c>
      <c r="D5" s="73"/>
      <c r="E5" s="31"/>
      <c r="F5" s="31"/>
      <c r="G5" s="32"/>
      <c r="H5" s="32"/>
      <c r="I5" s="32"/>
      <c r="J5" s="32"/>
      <c r="K5" s="32"/>
    </row>
    <row r="6" spans="2:11" ht="16.5" x14ac:dyDescent="0.35">
      <c r="B6" s="2" t="s">
        <v>73</v>
      </c>
      <c r="C6" s="33">
        <f>7.8*4.5*2</f>
        <v>70.2</v>
      </c>
      <c r="D6" s="74"/>
      <c r="E6" s="31"/>
      <c r="F6" s="31"/>
      <c r="G6" s="32"/>
    </row>
    <row r="7" spans="2:11" ht="16.5" x14ac:dyDescent="0.35">
      <c r="B7" s="2" t="s">
        <v>111</v>
      </c>
      <c r="C7" s="33">
        <f>1.21*7.8</f>
        <v>9.4379999999999988</v>
      </c>
      <c r="D7" s="74"/>
      <c r="E7" s="31"/>
      <c r="F7" s="31"/>
      <c r="G7" s="32"/>
    </row>
    <row r="8" spans="2:11" ht="16.5" x14ac:dyDescent="0.35">
      <c r="B8" s="60" t="s">
        <v>109</v>
      </c>
      <c r="C8" s="61">
        <f>C6+C7</f>
        <v>79.638000000000005</v>
      </c>
      <c r="D8" s="75"/>
      <c r="E8" s="31"/>
      <c r="F8" s="31"/>
      <c r="G8" s="32"/>
    </row>
    <row r="9" spans="2:11" x14ac:dyDescent="0.35">
      <c r="I9" s="24" t="s">
        <v>81</v>
      </c>
    </row>
    <row r="10" spans="2:11" ht="16.5" x14ac:dyDescent="0.35">
      <c r="B10" s="7" t="s">
        <v>71</v>
      </c>
      <c r="C10" s="7" t="s">
        <v>76</v>
      </c>
      <c r="D10" s="7" t="s">
        <v>2</v>
      </c>
      <c r="E10" s="7" t="s">
        <v>79</v>
      </c>
      <c r="F10" s="7" t="s">
        <v>80</v>
      </c>
      <c r="G10" s="7" t="s">
        <v>112</v>
      </c>
      <c r="I10" s="35" t="s">
        <v>192</v>
      </c>
      <c r="J10" s="35">
        <v>1440</v>
      </c>
      <c r="K10" t="s">
        <v>78</v>
      </c>
    </row>
    <row r="11" spans="2:11" ht="16.5" x14ac:dyDescent="0.35">
      <c r="B11" s="62" t="s">
        <v>17</v>
      </c>
      <c r="C11" s="36">
        <f>E11*50</f>
        <v>15550</v>
      </c>
      <c r="D11" s="33">
        <f>C11/$J$10</f>
        <v>10.798611111111111</v>
      </c>
      <c r="E11" s="2">
        <v>311</v>
      </c>
      <c r="F11" s="2"/>
      <c r="G11" s="2"/>
      <c r="I11" t="s">
        <v>191</v>
      </c>
      <c r="J11" s="35">
        <v>7850</v>
      </c>
      <c r="K11" t="s">
        <v>78</v>
      </c>
    </row>
    <row r="12" spans="2:11" x14ac:dyDescent="0.35">
      <c r="B12" s="62" t="s">
        <v>16</v>
      </c>
      <c r="C12" s="36">
        <f>D12*J15</f>
        <v>41600</v>
      </c>
      <c r="D12" s="2">
        <v>26</v>
      </c>
      <c r="E12" s="2"/>
      <c r="F12" s="2"/>
      <c r="G12" s="2"/>
      <c r="I12" t="s">
        <v>89</v>
      </c>
      <c r="J12" s="35">
        <v>55</v>
      </c>
      <c r="K12" t="s">
        <v>90</v>
      </c>
    </row>
    <row r="13" spans="2:11" ht="16.5" x14ac:dyDescent="0.35">
      <c r="B13" s="62" t="s">
        <v>50</v>
      </c>
      <c r="C13" s="36">
        <f>D13*J15</f>
        <v>76800</v>
      </c>
      <c r="D13" s="2">
        <v>48</v>
      </c>
      <c r="E13" s="2"/>
      <c r="F13" s="2"/>
      <c r="G13" s="2"/>
      <c r="I13" t="s">
        <v>113</v>
      </c>
      <c r="J13" s="35">
        <v>2225</v>
      </c>
      <c r="K13" t="s">
        <v>78</v>
      </c>
    </row>
    <row r="14" spans="2:11" ht="16.5" x14ac:dyDescent="0.35">
      <c r="B14" s="62" t="s">
        <v>24</v>
      </c>
      <c r="C14" s="36">
        <v>1792</v>
      </c>
      <c r="D14" s="33">
        <f>C14/$J$11</f>
        <v>0.22828025477707006</v>
      </c>
      <c r="E14" s="2"/>
      <c r="F14" s="2"/>
      <c r="G14" s="2"/>
      <c r="I14" t="s">
        <v>115</v>
      </c>
      <c r="J14" s="35">
        <v>7830</v>
      </c>
      <c r="K14" t="s">
        <v>78</v>
      </c>
    </row>
    <row r="15" spans="2:11" ht="16.5" x14ac:dyDescent="0.35">
      <c r="B15" s="57" t="s">
        <v>74</v>
      </c>
      <c r="C15" s="58"/>
      <c r="D15" s="59"/>
      <c r="E15" s="59"/>
      <c r="F15" s="59"/>
      <c r="G15" s="59"/>
      <c r="I15" t="s">
        <v>167</v>
      </c>
      <c r="J15" s="35">
        <v>1600</v>
      </c>
      <c r="K15" t="s">
        <v>78</v>
      </c>
    </row>
    <row r="16" spans="2:11" ht="16.5" x14ac:dyDescent="0.35">
      <c r="B16" s="57" t="s">
        <v>82</v>
      </c>
      <c r="C16" s="58"/>
      <c r="D16" s="59"/>
      <c r="E16" s="59"/>
      <c r="F16" s="59"/>
      <c r="G16" s="59"/>
      <c r="I16" t="s">
        <v>168</v>
      </c>
      <c r="J16" s="35">
        <v>673</v>
      </c>
      <c r="K16" t="s">
        <v>78</v>
      </c>
    </row>
    <row r="17" spans="2:11" ht="16.5" x14ac:dyDescent="0.35">
      <c r="B17" s="62" t="s">
        <v>52</v>
      </c>
      <c r="C17" s="36">
        <f>D17*J19</f>
        <v>2322.6</v>
      </c>
      <c r="D17" s="2">
        <v>2.94</v>
      </c>
      <c r="E17" s="2"/>
      <c r="F17" s="2"/>
      <c r="G17" s="2"/>
      <c r="I17" t="s">
        <v>169</v>
      </c>
      <c r="J17" s="35">
        <v>1906</v>
      </c>
      <c r="K17" t="s">
        <v>78</v>
      </c>
    </row>
    <row r="18" spans="2:11" ht="16.5" x14ac:dyDescent="0.35">
      <c r="B18" s="63" t="s">
        <v>92</v>
      </c>
      <c r="C18" s="58"/>
      <c r="D18" s="59"/>
      <c r="E18" s="59"/>
      <c r="F18" s="59"/>
      <c r="G18" s="59"/>
      <c r="I18" t="s">
        <v>171</v>
      </c>
      <c r="J18" s="35">
        <v>2691</v>
      </c>
      <c r="K18" t="s">
        <v>78</v>
      </c>
    </row>
    <row r="19" spans="2:11" ht="16.5" x14ac:dyDescent="0.35">
      <c r="B19" s="64" t="s">
        <v>51</v>
      </c>
      <c r="C19" s="72">
        <f>J18*D19</f>
        <v>231426</v>
      </c>
      <c r="D19" s="2">
        <v>86</v>
      </c>
      <c r="E19" s="52"/>
      <c r="F19" s="52"/>
      <c r="G19" s="52"/>
      <c r="I19" t="s">
        <v>173</v>
      </c>
      <c r="J19" s="35">
        <v>790</v>
      </c>
      <c r="K19" t="s">
        <v>78</v>
      </c>
    </row>
    <row r="20" spans="2:11" ht="16.5" x14ac:dyDescent="0.35">
      <c r="B20" s="63" t="s">
        <v>104</v>
      </c>
      <c r="C20" s="58"/>
      <c r="D20" s="59"/>
      <c r="E20" s="59"/>
      <c r="F20" s="59"/>
      <c r="G20" s="59"/>
      <c r="I20" t="s">
        <v>180</v>
      </c>
      <c r="J20" s="35">
        <v>2800</v>
      </c>
      <c r="K20" t="s">
        <v>78</v>
      </c>
    </row>
    <row r="21" spans="2:11" x14ac:dyDescent="0.35">
      <c r="B21" s="62" t="s">
        <v>70</v>
      </c>
      <c r="C21" s="36">
        <f>55*F21</f>
        <v>302.5</v>
      </c>
      <c r="D21" s="33">
        <f>C21/$J$13</f>
        <v>0.13595505617977527</v>
      </c>
      <c r="E21" s="2"/>
      <c r="F21" s="2">
        <v>5.5</v>
      </c>
      <c r="G21" s="2"/>
      <c r="I21" t="s">
        <v>174</v>
      </c>
      <c r="J21" t="s">
        <v>175</v>
      </c>
      <c r="K21" t="s">
        <v>116</v>
      </c>
    </row>
    <row r="22" spans="2:11" ht="16.5" x14ac:dyDescent="0.35">
      <c r="B22" s="10" t="s">
        <v>95</v>
      </c>
      <c r="C22" s="87">
        <f>D22*J11</f>
        <v>30.2225</v>
      </c>
      <c r="D22" s="22">
        <f>G22*0.4/1000*875/1000</f>
        <v>3.8500000000000001E-3</v>
      </c>
      <c r="E22" s="2"/>
      <c r="F22" s="2"/>
      <c r="G22" s="2">
        <v>11</v>
      </c>
      <c r="I22" t="s">
        <v>182</v>
      </c>
      <c r="J22" s="38">
        <v>1920</v>
      </c>
      <c r="K22" t="s">
        <v>78</v>
      </c>
    </row>
    <row r="23" spans="2:11" ht="16.5" x14ac:dyDescent="0.35">
      <c r="B23" s="57" t="s">
        <v>101</v>
      </c>
      <c r="C23" s="59"/>
      <c r="D23" s="59"/>
      <c r="E23" s="59"/>
      <c r="F23" s="59"/>
      <c r="G23" s="59"/>
      <c r="I23" t="s">
        <v>184</v>
      </c>
      <c r="J23" s="35">
        <v>1600</v>
      </c>
      <c r="K23" t="s">
        <v>78</v>
      </c>
    </row>
    <row r="24" spans="2:11" x14ac:dyDescent="0.35">
      <c r="B24" s="57" t="s">
        <v>103</v>
      </c>
      <c r="C24" s="59"/>
      <c r="D24" s="59"/>
      <c r="E24" s="59"/>
      <c r="F24" s="59"/>
      <c r="G24" s="59"/>
      <c r="I24" t="s">
        <v>186</v>
      </c>
      <c r="J24" t="s">
        <v>187</v>
      </c>
      <c r="K24" t="s">
        <v>188</v>
      </c>
    </row>
    <row r="25" spans="2:11" x14ac:dyDescent="0.35">
      <c r="B25" s="57" t="s">
        <v>121</v>
      </c>
      <c r="C25" s="59"/>
      <c r="D25" s="59"/>
      <c r="E25" s="59"/>
      <c r="F25" s="59"/>
      <c r="G25" s="59"/>
      <c r="I25" t="s">
        <v>189</v>
      </c>
      <c r="J25" s="78" t="s">
        <v>196</v>
      </c>
      <c r="K25" t="s">
        <v>190</v>
      </c>
    </row>
    <row r="26" spans="2:11" x14ac:dyDescent="0.35">
      <c r="B26" s="57" t="s">
        <v>120</v>
      </c>
      <c r="C26" s="59"/>
      <c r="D26" s="59"/>
      <c r="E26" s="59"/>
      <c r="F26" s="59"/>
      <c r="G26" s="59"/>
      <c r="I26" t="s">
        <v>118</v>
      </c>
      <c r="J26">
        <v>10</v>
      </c>
      <c r="K26" t="s">
        <v>198</v>
      </c>
    </row>
    <row r="27" spans="2:11" x14ac:dyDescent="0.35">
      <c r="B27" s="57" t="s">
        <v>93</v>
      </c>
      <c r="C27" s="59"/>
      <c r="D27" s="59"/>
      <c r="E27" s="59"/>
      <c r="F27" s="59"/>
      <c r="G27" s="59"/>
      <c r="I27" t="s">
        <v>117</v>
      </c>
      <c r="J27">
        <v>75</v>
      </c>
      <c r="K27" t="s">
        <v>116</v>
      </c>
    </row>
    <row r="28" spans="2:11" x14ac:dyDescent="0.35">
      <c r="I28" t="s">
        <v>199</v>
      </c>
      <c r="J28">
        <v>10</v>
      </c>
      <c r="K28" t="s">
        <v>116</v>
      </c>
    </row>
  </sheetData>
  <mergeCells count="1">
    <mergeCell ref="B4:C4"/>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32"/>
  <sheetViews>
    <sheetView topLeftCell="A7" workbookViewId="0">
      <selection activeCell="D15" sqref="D15"/>
    </sheetView>
  </sheetViews>
  <sheetFormatPr defaultRowHeight="14.5" x14ac:dyDescent="0.35"/>
  <cols>
    <col min="1" max="1" width="8.7265625" customWidth="1"/>
    <col min="2" max="2" width="14.7265625" bestFit="1" customWidth="1"/>
    <col min="3" max="3" width="14.7265625" customWidth="1"/>
    <col min="4" max="4" width="17.1796875" customWidth="1"/>
    <col min="5" max="5" width="17.1796875" bestFit="1" customWidth="1"/>
    <col min="6" max="6" width="14.36328125" bestFit="1" customWidth="1"/>
    <col min="7" max="7" width="10.26953125" bestFit="1" customWidth="1"/>
    <col min="8" max="8" width="11.26953125" bestFit="1" customWidth="1"/>
    <col min="9" max="9" width="25.7265625" bestFit="1" customWidth="1"/>
    <col min="10" max="10" width="10.6328125" bestFit="1" customWidth="1"/>
  </cols>
  <sheetData>
    <row r="2" spans="2:11" ht="18.5" x14ac:dyDescent="0.45">
      <c r="B2" s="55" t="s">
        <v>138</v>
      </c>
    </row>
    <row r="4" spans="2:11" x14ac:dyDescent="0.35">
      <c r="B4" s="100" t="s">
        <v>124</v>
      </c>
      <c r="C4" s="101"/>
    </row>
    <row r="5" spans="2:11" x14ac:dyDescent="0.35">
      <c r="B5" s="2" t="s">
        <v>72</v>
      </c>
      <c r="C5" s="34">
        <v>2</v>
      </c>
      <c r="D5" s="31"/>
      <c r="E5" s="31"/>
      <c r="F5" s="31"/>
      <c r="G5" s="32"/>
      <c r="H5" s="32"/>
      <c r="I5" s="32"/>
      <c r="J5" s="32"/>
      <c r="K5" s="32"/>
    </row>
    <row r="6" spans="2:11" ht="16.5" x14ac:dyDescent="0.35">
      <c r="B6" s="2" t="s">
        <v>73</v>
      </c>
      <c r="C6" s="33">
        <f>6.35*5*2</f>
        <v>63.5</v>
      </c>
      <c r="D6" s="31"/>
      <c r="E6" s="31"/>
      <c r="F6" s="31"/>
      <c r="G6" s="32"/>
    </row>
    <row r="7" spans="2:11" ht="16.5" x14ac:dyDescent="0.35">
      <c r="B7" s="2" t="s">
        <v>111</v>
      </c>
      <c r="C7" s="33">
        <f>1.5*6.35</f>
        <v>9.5249999999999986</v>
      </c>
      <c r="D7" s="31"/>
      <c r="E7" s="31"/>
      <c r="F7" s="31"/>
      <c r="G7" s="32"/>
    </row>
    <row r="8" spans="2:11" ht="16.5" x14ac:dyDescent="0.35">
      <c r="B8" s="60" t="s">
        <v>109</v>
      </c>
      <c r="C8" s="61">
        <f>C6+C7</f>
        <v>73.025000000000006</v>
      </c>
      <c r="D8" s="31"/>
      <c r="E8" s="31"/>
      <c r="F8" s="31"/>
      <c r="G8" s="32"/>
    </row>
    <row r="10" spans="2:11" ht="16.5" x14ac:dyDescent="0.35">
      <c r="B10" s="7" t="s">
        <v>71</v>
      </c>
      <c r="C10" s="7" t="s">
        <v>76</v>
      </c>
      <c r="D10" s="7" t="s">
        <v>2</v>
      </c>
      <c r="E10" s="7" t="s">
        <v>79</v>
      </c>
      <c r="F10" s="7" t="s">
        <v>77</v>
      </c>
      <c r="G10" s="7" t="s">
        <v>75</v>
      </c>
      <c r="I10" s="24" t="s">
        <v>81</v>
      </c>
    </row>
    <row r="11" spans="2:11" ht="16.5" x14ac:dyDescent="0.35">
      <c r="B11" s="62" t="s">
        <v>17</v>
      </c>
      <c r="C11" s="36">
        <f>E11*55</f>
        <v>6985</v>
      </c>
      <c r="D11" s="33">
        <f>C11/J11</f>
        <v>4.8506944444444446</v>
      </c>
      <c r="E11" s="2">
        <v>127</v>
      </c>
      <c r="F11" s="2"/>
      <c r="G11" s="2"/>
      <c r="I11" s="35" t="s">
        <v>192</v>
      </c>
      <c r="J11" s="35">
        <v>1440</v>
      </c>
      <c r="K11" t="s">
        <v>78</v>
      </c>
    </row>
    <row r="12" spans="2:11" ht="16.5" x14ac:dyDescent="0.35">
      <c r="B12" s="62" t="s">
        <v>16</v>
      </c>
      <c r="C12" s="36">
        <f>J16*D12</f>
        <v>17456</v>
      </c>
      <c r="D12" s="2">
        <v>10.91</v>
      </c>
      <c r="E12" s="2"/>
      <c r="F12" s="2"/>
      <c r="G12" s="2"/>
      <c r="I12" t="s">
        <v>191</v>
      </c>
      <c r="J12" s="35">
        <v>7850</v>
      </c>
      <c r="K12" t="s">
        <v>78</v>
      </c>
    </row>
    <row r="13" spans="2:11" x14ac:dyDescent="0.35">
      <c r="B13" s="62" t="s">
        <v>50</v>
      </c>
      <c r="C13" s="36">
        <f>J16*D13</f>
        <v>36912</v>
      </c>
      <c r="D13" s="2">
        <v>23.07</v>
      </c>
      <c r="E13" s="2"/>
      <c r="F13" s="2"/>
      <c r="G13" s="2"/>
      <c r="I13" t="s">
        <v>89</v>
      </c>
      <c r="J13" s="35">
        <v>55</v>
      </c>
      <c r="K13" t="s">
        <v>90</v>
      </c>
    </row>
    <row r="14" spans="2:11" ht="16.5" x14ac:dyDescent="0.35">
      <c r="B14" s="62" t="s">
        <v>24</v>
      </c>
      <c r="C14" s="36">
        <v>776.35</v>
      </c>
      <c r="D14" s="33">
        <f>C14/J12</f>
        <v>9.8898089171974526E-2</v>
      </c>
      <c r="E14" s="2"/>
      <c r="F14" s="2"/>
      <c r="G14" s="2"/>
      <c r="I14" t="s">
        <v>113</v>
      </c>
      <c r="J14" s="35">
        <v>2225</v>
      </c>
      <c r="K14" t="s">
        <v>78</v>
      </c>
    </row>
    <row r="15" spans="2:11" ht="16.5" x14ac:dyDescent="0.35">
      <c r="B15" s="62" t="s">
        <v>74</v>
      </c>
      <c r="C15" s="35">
        <f>D15*J23</f>
        <v>111566.813184</v>
      </c>
      <c r="D15" s="33">
        <f>G15*0.24*0.115*0.057</f>
        <v>58.107715200000001</v>
      </c>
      <c r="E15" s="2"/>
      <c r="F15" s="2"/>
      <c r="G15" s="36">
        <v>36936</v>
      </c>
      <c r="I15" t="s">
        <v>115</v>
      </c>
      <c r="J15" s="35">
        <v>7830</v>
      </c>
      <c r="K15" t="s">
        <v>78</v>
      </c>
    </row>
    <row r="16" spans="2:11" ht="16.5" x14ac:dyDescent="0.35">
      <c r="B16" s="57" t="s">
        <v>82</v>
      </c>
      <c r="C16" s="58"/>
      <c r="D16" s="59"/>
      <c r="E16" s="59"/>
      <c r="F16" s="59"/>
      <c r="G16" s="59"/>
      <c r="I16" t="s">
        <v>167</v>
      </c>
      <c r="J16" s="35">
        <v>1600</v>
      </c>
      <c r="K16" t="s">
        <v>78</v>
      </c>
    </row>
    <row r="17" spans="2:11" ht="16.5" x14ac:dyDescent="0.35">
      <c r="B17" s="62" t="s">
        <v>52</v>
      </c>
      <c r="C17" s="36">
        <f>J20*D17</f>
        <v>3499.7</v>
      </c>
      <c r="D17" s="2">
        <v>4.43</v>
      </c>
      <c r="E17" s="2"/>
      <c r="F17" s="2"/>
      <c r="G17" s="2"/>
      <c r="I17" t="s">
        <v>168</v>
      </c>
      <c r="J17" s="35">
        <v>673</v>
      </c>
      <c r="K17" t="s">
        <v>78</v>
      </c>
    </row>
    <row r="18" spans="2:11" ht="16.5" x14ac:dyDescent="0.35">
      <c r="B18" s="63" t="s">
        <v>92</v>
      </c>
      <c r="C18" s="58"/>
      <c r="D18" s="59"/>
      <c r="E18" s="59"/>
      <c r="F18" s="59"/>
      <c r="G18" s="59"/>
      <c r="I18" t="s">
        <v>169</v>
      </c>
      <c r="J18" s="35">
        <v>1906</v>
      </c>
      <c r="K18" t="s">
        <v>78</v>
      </c>
    </row>
    <row r="19" spans="2:11" ht="16.5" x14ac:dyDescent="0.35">
      <c r="B19" s="63" t="s">
        <v>51</v>
      </c>
      <c r="C19" s="58"/>
      <c r="D19" s="59"/>
      <c r="E19" s="59"/>
      <c r="F19" s="59"/>
      <c r="G19" s="59"/>
      <c r="I19" t="s">
        <v>171</v>
      </c>
      <c r="J19" s="35">
        <v>2691</v>
      </c>
      <c r="K19" t="s">
        <v>78</v>
      </c>
    </row>
    <row r="20" spans="2:11" ht="16.5" x14ac:dyDescent="0.35">
      <c r="B20" s="63" t="s">
        <v>104</v>
      </c>
      <c r="C20" s="70"/>
      <c r="D20" s="66"/>
      <c r="E20" s="66"/>
      <c r="F20" s="66"/>
      <c r="G20" s="66"/>
      <c r="I20" t="s">
        <v>173</v>
      </c>
      <c r="J20" s="35">
        <v>790</v>
      </c>
      <c r="K20" t="s">
        <v>78</v>
      </c>
    </row>
    <row r="21" spans="2:11" ht="16.5" x14ac:dyDescent="0.35">
      <c r="B21" s="57" t="s">
        <v>70</v>
      </c>
      <c r="C21" s="36">
        <f>F21*55</f>
        <v>259.05</v>
      </c>
      <c r="D21" s="33">
        <f>C21/J14</f>
        <v>0.11642696629213484</v>
      </c>
      <c r="E21" s="2"/>
      <c r="F21" s="2">
        <v>4.71</v>
      </c>
      <c r="G21" s="2"/>
      <c r="I21" t="s">
        <v>180</v>
      </c>
      <c r="J21" s="35">
        <v>2800</v>
      </c>
      <c r="K21" t="s">
        <v>78</v>
      </c>
    </row>
    <row r="22" spans="2:11" x14ac:dyDescent="0.35">
      <c r="B22" s="59" t="s">
        <v>95</v>
      </c>
      <c r="C22" s="59"/>
      <c r="D22" s="59"/>
      <c r="E22" s="59"/>
      <c r="F22" s="59"/>
      <c r="G22" s="59"/>
      <c r="I22" t="s">
        <v>174</v>
      </c>
      <c r="J22" t="s">
        <v>175</v>
      </c>
      <c r="K22" t="s">
        <v>116</v>
      </c>
    </row>
    <row r="23" spans="2:11" ht="16.5" x14ac:dyDescent="0.35">
      <c r="B23" s="57" t="s">
        <v>101</v>
      </c>
      <c r="C23" s="59"/>
      <c r="D23" s="59"/>
      <c r="E23" s="59"/>
      <c r="F23" s="59"/>
      <c r="G23" s="59"/>
      <c r="I23" t="s">
        <v>182</v>
      </c>
      <c r="J23" s="38">
        <v>1920</v>
      </c>
      <c r="K23" t="s">
        <v>78</v>
      </c>
    </row>
    <row r="24" spans="2:11" ht="16.5" x14ac:dyDescent="0.35">
      <c r="B24" s="57" t="s">
        <v>103</v>
      </c>
      <c r="C24" s="59"/>
      <c r="D24" s="59"/>
      <c r="E24" s="59"/>
      <c r="F24" s="59"/>
      <c r="G24" s="59"/>
      <c r="I24" t="s">
        <v>184</v>
      </c>
      <c r="J24" s="35">
        <v>1600</v>
      </c>
      <c r="K24" t="s">
        <v>78</v>
      </c>
    </row>
    <row r="25" spans="2:11" x14ac:dyDescent="0.35">
      <c r="B25" s="57" t="s">
        <v>121</v>
      </c>
      <c r="C25" s="59"/>
      <c r="D25" s="59"/>
      <c r="E25" s="59"/>
      <c r="F25" s="59"/>
      <c r="G25" s="59"/>
      <c r="I25" t="s">
        <v>186</v>
      </c>
      <c r="J25" t="s">
        <v>187</v>
      </c>
      <c r="K25" t="s">
        <v>188</v>
      </c>
    </row>
    <row r="26" spans="2:11" x14ac:dyDescent="0.35">
      <c r="B26" s="57" t="s">
        <v>120</v>
      </c>
      <c r="C26" s="59"/>
      <c r="D26" s="59"/>
      <c r="E26" s="59"/>
      <c r="F26" s="59"/>
      <c r="G26" s="59"/>
      <c r="I26" t="s">
        <v>189</v>
      </c>
      <c r="J26" s="78" t="s">
        <v>196</v>
      </c>
      <c r="K26" t="s">
        <v>190</v>
      </c>
    </row>
    <row r="27" spans="2:11" x14ac:dyDescent="0.35">
      <c r="B27" s="57" t="s">
        <v>93</v>
      </c>
      <c r="C27" s="59"/>
      <c r="D27" s="59"/>
      <c r="E27" s="59"/>
      <c r="F27" s="59"/>
      <c r="G27" s="59"/>
      <c r="I27" t="s">
        <v>118</v>
      </c>
      <c r="J27">
        <v>10</v>
      </c>
      <c r="K27" t="s">
        <v>198</v>
      </c>
    </row>
    <row r="28" spans="2:11" x14ac:dyDescent="0.35">
      <c r="I28" t="s">
        <v>117</v>
      </c>
      <c r="J28">
        <v>75</v>
      </c>
      <c r="K28" t="s">
        <v>116</v>
      </c>
    </row>
    <row r="29" spans="2:11" x14ac:dyDescent="0.35">
      <c r="D29" s="31"/>
      <c r="E29" s="31"/>
      <c r="F29" s="31"/>
      <c r="G29" s="32"/>
      <c r="I29" t="s">
        <v>199</v>
      </c>
      <c r="J29">
        <v>10</v>
      </c>
      <c r="K29" t="s">
        <v>116</v>
      </c>
    </row>
    <row r="30" spans="2:11" x14ac:dyDescent="0.35">
      <c r="D30" s="31"/>
      <c r="E30" s="31"/>
      <c r="F30" s="31"/>
      <c r="G30" s="32"/>
    </row>
    <row r="31" spans="2:11" x14ac:dyDescent="0.35">
      <c r="D31" s="31"/>
      <c r="E31" s="31"/>
      <c r="F31" s="31"/>
      <c r="G31" s="32"/>
    </row>
    <row r="32" spans="2:11" x14ac:dyDescent="0.35">
      <c r="D32" s="31"/>
      <c r="E32" s="31"/>
      <c r="F32" s="31"/>
      <c r="G32" s="32"/>
    </row>
  </sheetData>
  <mergeCells count="1">
    <mergeCell ref="B4:C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9"/>
  <sheetViews>
    <sheetView topLeftCell="B8" workbookViewId="0">
      <selection activeCell="B33" sqref="A33:XFD33"/>
    </sheetView>
  </sheetViews>
  <sheetFormatPr defaultRowHeight="14.5" x14ac:dyDescent="0.35"/>
  <cols>
    <col min="1" max="1" width="10.36328125" bestFit="1" customWidth="1"/>
    <col min="2" max="2" width="29.26953125" bestFit="1" customWidth="1"/>
    <col min="3" max="3" width="12.1796875" bestFit="1" customWidth="1"/>
    <col min="4" max="4" width="17.1796875" customWidth="1"/>
    <col min="5" max="5" width="17.1796875" bestFit="1" customWidth="1"/>
    <col min="6" max="6" width="10.453125" customWidth="1"/>
    <col min="7" max="7" width="11.26953125" bestFit="1" customWidth="1"/>
    <col min="10" max="10" width="23.26953125" bestFit="1" customWidth="1"/>
  </cols>
  <sheetData>
    <row r="2" spans="2:12" ht="18.5" x14ac:dyDescent="0.45">
      <c r="B2" s="55" t="s">
        <v>132</v>
      </c>
    </row>
    <row r="4" spans="2:12" x14ac:dyDescent="0.35">
      <c r="B4" s="99" t="s">
        <v>124</v>
      </c>
      <c r="C4" s="99"/>
    </row>
    <row r="5" spans="2:12" x14ac:dyDescent="0.35">
      <c r="B5" s="2" t="s">
        <v>72</v>
      </c>
      <c r="C5" s="34">
        <v>2</v>
      </c>
    </row>
    <row r="6" spans="2:12" ht="16.5" x14ac:dyDescent="0.35">
      <c r="B6" s="2" t="s">
        <v>133</v>
      </c>
      <c r="C6" s="67">
        <f>6.5*3.8*2</f>
        <v>49.4</v>
      </c>
      <c r="D6" s="31"/>
      <c r="E6" s="31"/>
      <c r="F6" s="31"/>
      <c r="G6" s="31"/>
      <c r="H6" s="32"/>
      <c r="I6" s="32"/>
      <c r="J6" s="32"/>
      <c r="K6" s="32"/>
      <c r="L6" s="32"/>
    </row>
    <row r="7" spans="2:12" ht="16.5" x14ac:dyDescent="0.35">
      <c r="B7" s="2" t="s">
        <v>111</v>
      </c>
      <c r="C7" s="2">
        <v>0</v>
      </c>
      <c r="D7" s="31"/>
      <c r="E7" s="31"/>
      <c r="F7" s="31"/>
      <c r="G7" s="31"/>
      <c r="H7" s="32"/>
      <c r="I7" s="32"/>
      <c r="J7" s="32"/>
      <c r="K7" s="32"/>
      <c r="L7" s="32"/>
    </row>
    <row r="8" spans="2:12" ht="16.5" x14ac:dyDescent="0.35">
      <c r="B8" s="60" t="s">
        <v>110</v>
      </c>
      <c r="C8" s="61">
        <f>C6+C7</f>
        <v>49.4</v>
      </c>
      <c r="D8" s="31"/>
      <c r="E8" s="31"/>
      <c r="F8" s="31"/>
      <c r="G8" s="31"/>
      <c r="H8" s="32"/>
    </row>
    <row r="9" spans="2:12" x14ac:dyDescent="0.35">
      <c r="J9" s="24" t="s">
        <v>81</v>
      </c>
    </row>
    <row r="10" spans="2:12" ht="16.5" x14ac:dyDescent="0.35">
      <c r="B10" s="7" t="s">
        <v>71</v>
      </c>
      <c r="C10" s="7" t="s">
        <v>76</v>
      </c>
      <c r="D10" s="7" t="s">
        <v>2</v>
      </c>
      <c r="E10" s="7" t="s">
        <v>79</v>
      </c>
      <c r="F10" s="7" t="s">
        <v>100</v>
      </c>
      <c r="G10" s="7" t="s">
        <v>80</v>
      </c>
      <c r="H10" s="7" t="s">
        <v>102</v>
      </c>
      <c r="I10" s="32"/>
      <c r="J10" s="35" t="s">
        <v>192</v>
      </c>
      <c r="K10" s="35">
        <v>1440</v>
      </c>
      <c r="L10" t="s">
        <v>78</v>
      </c>
    </row>
    <row r="11" spans="2:12" ht="16.5" x14ac:dyDescent="0.35">
      <c r="B11" s="62" t="s">
        <v>17</v>
      </c>
      <c r="C11" s="36">
        <f>E11*50</f>
        <v>13105.000000000002</v>
      </c>
      <c r="D11" s="33">
        <f>C11/K10</f>
        <v>9.1006944444444464</v>
      </c>
      <c r="E11" s="2">
        <v>262.10000000000002</v>
      </c>
      <c r="F11" s="2"/>
      <c r="G11" s="2"/>
      <c r="H11" s="2"/>
      <c r="I11" s="32"/>
      <c r="J11" t="s">
        <v>191</v>
      </c>
      <c r="K11" s="35">
        <v>7850</v>
      </c>
      <c r="L11" t="s">
        <v>78</v>
      </c>
    </row>
    <row r="12" spans="2:12" x14ac:dyDescent="0.35">
      <c r="B12" s="62" t="s">
        <v>16</v>
      </c>
      <c r="C12" s="36">
        <f>D12*K15</f>
        <v>47360</v>
      </c>
      <c r="D12" s="2">
        <v>29.6</v>
      </c>
      <c r="E12" s="2"/>
      <c r="F12" s="36"/>
      <c r="G12" s="2"/>
      <c r="H12" s="2"/>
      <c r="I12" s="32"/>
      <c r="J12" t="s">
        <v>89</v>
      </c>
      <c r="K12" s="35">
        <v>55</v>
      </c>
      <c r="L12" t="s">
        <v>90</v>
      </c>
    </row>
    <row r="13" spans="2:12" ht="16.5" x14ac:dyDescent="0.35">
      <c r="B13" s="62" t="s">
        <v>50</v>
      </c>
      <c r="C13" s="36">
        <f>D13*K15</f>
        <v>23520</v>
      </c>
      <c r="D13" s="2">
        <v>14.7</v>
      </c>
      <c r="E13" s="2"/>
      <c r="F13" s="2"/>
      <c r="G13" s="2"/>
      <c r="H13" s="2"/>
      <c r="I13" s="32"/>
      <c r="J13" t="s">
        <v>113</v>
      </c>
      <c r="K13" s="35">
        <v>2225</v>
      </c>
      <c r="L13" t="s">
        <v>78</v>
      </c>
    </row>
    <row r="14" spans="2:12" ht="16.5" x14ac:dyDescent="0.35">
      <c r="B14" s="62" t="s">
        <v>24</v>
      </c>
      <c r="C14" s="36">
        <v>2541.9</v>
      </c>
      <c r="D14" s="33">
        <f>C14/K11</f>
        <v>0.32380891719745225</v>
      </c>
      <c r="E14" s="2"/>
      <c r="F14" s="2"/>
      <c r="G14" s="2"/>
      <c r="H14" s="2"/>
      <c r="I14" s="32"/>
      <c r="J14" t="s">
        <v>115</v>
      </c>
      <c r="K14" s="35">
        <v>7830</v>
      </c>
      <c r="L14" t="s">
        <v>78</v>
      </c>
    </row>
    <row r="15" spans="2:12" ht="16.5" x14ac:dyDescent="0.35">
      <c r="B15" s="57" t="s">
        <v>74</v>
      </c>
      <c r="C15" s="58"/>
      <c r="D15" s="59"/>
      <c r="E15" s="59"/>
      <c r="F15" s="59"/>
      <c r="G15" s="59"/>
      <c r="H15" s="59"/>
      <c r="I15" s="32"/>
      <c r="J15" t="s">
        <v>167</v>
      </c>
      <c r="K15" s="35">
        <v>1600</v>
      </c>
      <c r="L15" t="s">
        <v>78</v>
      </c>
    </row>
    <row r="16" spans="2:12" ht="16.5" x14ac:dyDescent="0.35">
      <c r="B16" s="57" t="s">
        <v>82</v>
      </c>
      <c r="C16" s="58"/>
      <c r="D16" s="59"/>
      <c r="E16" s="59"/>
      <c r="F16" s="59"/>
      <c r="G16" s="59"/>
      <c r="H16" s="59"/>
      <c r="I16" s="32"/>
      <c r="J16" t="s">
        <v>168</v>
      </c>
      <c r="K16" s="35">
        <v>673</v>
      </c>
      <c r="L16" t="s">
        <v>78</v>
      </c>
    </row>
    <row r="17" spans="2:12" ht="16.5" x14ac:dyDescent="0.35">
      <c r="B17" s="57" t="s">
        <v>52</v>
      </c>
      <c r="C17" s="58"/>
      <c r="D17" s="59">
        <v>0</v>
      </c>
      <c r="E17" s="59"/>
      <c r="F17" s="59"/>
      <c r="G17" s="59"/>
      <c r="H17" s="59"/>
      <c r="I17" s="32"/>
      <c r="J17" t="s">
        <v>169</v>
      </c>
      <c r="K17" s="35">
        <v>1906</v>
      </c>
      <c r="L17" t="s">
        <v>78</v>
      </c>
    </row>
    <row r="18" spans="2:12" ht="16.5" x14ac:dyDescent="0.35">
      <c r="B18" s="63" t="s">
        <v>92</v>
      </c>
      <c r="C18" s="58"/>
      <c r="D18" s="59"/>
      <c r="E18" s="59"/>
      <c r="F18" s="59"/>
      <c r="G18" s="59"/>
      <c r="H18" s="59"/>
      <c r="I18" s="32"/>
      <c r="J18" t="s">
        <v>171</v>
      </c>
      <c r="K18" s="35">
        <v>2691</v>
      </c>
      <c r="L18" t="s">
        <v>78</v>
      </c>
    </row>
    <row r="19" spans="2:12" ht="16.5" x14ac:dyDescent="0.35">
      <c r="B19" s="63" t="s">
        <v>51</v>
      </c>
      <c r="C19" s="70"/>
      <c r="D19" s="66"/>
      <c r="E19" s="66"/>
      <c r="F19" s="66"/>
      <c r="G19" s="66"/>
      <c r="H19" s="59"/>
      <c r="J19" t="s">
        <v>173</v>
      </c>
      <c r="K19" s="35">
        <v>790</v>
      </c>
      <c r="L19" t="s">
        <v>78</v>
      </c>
    </row>
    <row r="20" spans="2:12" ht="16.5" x14ac:dyDescent="0.35">
      <c r="B20" s="63" t="s">
        <v>104</v>
      </c>
      <c r="C20" s="58"/>
      <c r="D20" s="59"/>
      <c r="E20" s="59"/>
      <c r="F20" s="59"/>
      <c r="G20" s="59"/>
      <c r="H20" s="59"/>
      <c r="J20" t="s">
        <v>180</v>
      </c>
      <c r="K20" s="35">
        <v>2800</v>
      </c>
      <c r="L20" t="s">
        <v>78</v>
      </c>
    </row>
    <row r="21" spans="2:12" x14ac:dyDescent="0.35">
      <c r="B21" s="57" t="s">
        <v>70</v>
      </c>
      <c r="C21" s="58">
        <f>55*G20</f>
        <v>0</v>
      </c>
      <c r="D21" s="68">
        <f>C21/K13</f>
        <v>0</v>
      </c>
      <c r="E21" s="59"/>
      <c r="F21" s="59"/>
      <c r="G21" s="59"/>
      <c r="H21" s="59"/>
      <c r="J21" t="s">
        <v>174</v>
      </c>
      <c r="K21" t="s">
        <v>175</v>
      </c>
      <c r="L21" t="s">
        <v>116</v>
      </c>
    </row>
    <row r="22" spans="2:12" ht="16.5" x14ac:dyDescent="0.35">
      <c r="B22" s="57" t="s">
        <v>95</v>
      </c>
      <c r="C22" s="58"/>
      <c r="D22" s="59"/>
      <c r="E22" s="59"/>
      <c r="F22" s="59"/>
      <c r="G22" s="59"/>
      <c r="H22" s="59"/>
      <c r="J22" t="s">
        <v>182</v>
      </c>
      <c r="K22" s="38">
        <v>1920</v>
      </c>
      <c r="L22" t="s">
        <v>78</v>
      </c>
    </row>
    <row r="23" spans="2:12" ht="16.5" x14ac:dyDescent="0.35">
      <c r="B23" s="62" t="s">
        <v>101</v>
      </c>
      <c r="C23" s="36">
        <f>H23*1000*0.00925</f>
        <v>182.22499999999999</v>
      </c>
      <c r="D23" s="2"/>
      <c r="E23" s="2"/>
      <c r="F23" s="2"/>
      <c r="G23" s="2"/>
      <c r="H23" s="2">
        <v>19.7</v>
      </c>
      <c r="J23" t="s">
        <v>184</v>
      </c>
      <c r="K23" s="35">
        <v>1600</v>
      </c>
      <c r="L23" t="s">
        <v>78</v>
      </c>
    </row>
    <row r="24" spans="2:12" x14ac:dyDescent="0.35">
      <c r="B24" s="57" t="s">
        <v>126</v>
      </c>
      <c r="C24" s="58"/>
      <c r="D24" s="59"/>
      <c r="E24" s="59"/>
      <c r="F24" s="59"/>
      <c r="G24" s="59"/>
      <c r="H24" s="59"/>
      <c r="J24" t="s">
        <v>186</v>
      </c>
      <c r="K24" t="s">
        <v>187</v>
      </c>
      <c r="L24" t="s">
        <v>188</v>
      </c>
    </row>
    <row r="25" spans="2:12" x14ac:dyDescent="0.35">
      <c r="B25" s="57" t="s">
        <v>121</v>
      </c>
      <c r="C25" s="36">
        <f>D25*K23</f>
        <v>54624</v>
      </c>
      <c r="D25" s="22">
        <f>F25*0.4*0.2*0.15</f>
        <v>34.14</v>
      </c>
      <c r="E25" s="2"/>
      <c r="F25" s="2">
        <v>2845</v>
      </c>
      <c r="G25" s="2"/>
      <c r="H25" s="2"/>
      <c r="J25" t="s">
        <v>189</v>
      </c>
      <c r="K25" s="78" t="s">
        <v>196</v>
      </c>
      <c r="L25" t="s">
        <v>190</v>
      </c>
    </row>
    <row r="26" spans="2:12" x14ac:dyDescent="0.35">
      <c r="B26" s="57" t="s">
        <v>120</v>
      </c>
      <c r="C26" s="58"/>
      <c r="D26" s="59"/>
      <c r="E26" s="59"/>
      <c r="F26" s="59"/>
      <c r="G26" s="59"/>
      <c r="H26" s="59"/>
      <c r="J26" t="s">
        <v>118</v>
      </c>
      <c r="K26">
        <v>10</v>
      </c>
      <c r="L26" t="s">
        <v>198</v>
      </c>
    </row>
    <row r="27" spans="2:12" x14ac:dyDescent="0.35">
      <c r="B27" s="57" t="s">
        <v>93</v>
      </c>
      <c r="C27" s="58"/>
      <c r="D27" s="59"/>
      <c r="E27" s="59"/>
      <c r="F27" s="59"/>
      <c r="G27" s="59"/>
      <c r="H27" s="59"/>
      <c r="J27" t="s">
        <v>117</v>
      </c>
      <c r="K27">
        <v>75</v>
      </c>
      <c r="L27" t="s">
        <v>116</v>
      </c>
    </row>
    <row r="28" spans="2:12" x14ac:dyDescent="0.35">
      <c r="J28" t="s">
        <v>199</v>
      </c>
      <c r="K28">
        <v>10</v>
      </c>
      <c r="L28" t="s">
        <v>116</v>
      </c>
    </row>
    <row r="29" spans="2:12" x14ac:dyDescent="0.35">
      <c r="J29" t="s">
        <v>232</v>
      </c>
      <c r="K29">
        <v>1000</v>
      </c>
    </row>
  </sheetData>
  <mergeCells count="1">
    <mergeCell ref="B4:C4"/>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35"/>
  <sheetViews>
    <sheetView topLeftCell="A14" workbookViewId="0">
      <selection activeCell="J10" sqref="J10:L28"/>
    </sheetView>
  </sheetViews>
  <sheetFormatPr defaultRowHeight="14.5" x14ac:dyDescent="0.35"/>
  <cols>
    <col min="1" max="1" width="10.36328125" bestFit="1" customWidth="1"/>
    <col min="2" max="2" width="29.26953125" bestFit="1" customWidth="1"/>
    <col min="3" max="3" width="12.1796875" bestFit="1" customWidth="1"/>
    <col min="4" max="4" width="17.1796875" customWidth="1"/>
    <col min="5" max="5" width="17.1796875" bestFit="1" customWidth="1"/>
    <col min="6" max="6" width="10.453125" customWidth="1"/>
    <col min="7" max="7" width="11.26953125" bestFit="1" customWidth="1"/>
    <col min="10" max="10" width="22.1796875" bestFit="1" customWidth="1"/>
  </cols>
  <sheetData>
    <row r="2" spans="2:12" ht="18.5" x14ac:dyDescent="0.45">
      <c r="B2" s="55" t="s">
        <v>131</v>
      </c>
    </row>
    <row r="4" spans="2:12" x14ac:dyDescent="0.35">
      <c r="B4" s="99" t="s">
        <v>124</v>
      </c>
      <c r="C4" s="99"/>
      <c r="D4" s="31"/>
      <c r="E4" s="31"/>
      <c r="F4" s="31"/>
      <c r="G4" s="31"/>
      <c r="H4" s="32"/>
      <c r="I4" s="32"/>
      <c r="J4" s="32"/>
      <c r="K4" s="32"/>
      <c r="L4" s="32"/>
    </row>
    <row r="5" spans="2:12" x14ac:dyDescent="0.35">
      <c r="B5" s="60" t="s">
        <v>72</v>
      </c>
      <c r="C5" s="65">
        <v>2</v>
      </c>
      <c r="D5" s="31"/>
      <c r="E5" s="31"/>
      <c r="F5" s="31"/>
      <c r="G5" s="31"/>
      <c r="H5" s="32"/>
      <c r="I5" s="32"/>
      <c r="J5" s="32"/>
      <c r="K5" s="32"/>
      <c r="L5" s="32"/>
    </row>
    <row r="6" spans="2:12" ht="16.5" x14ac:dyDescent="0.35">
      <c r="B6" s="2" t="s">
        <v>73</v>
      </c>
      <c r="C6" s="33">
        <f>7.73*6.737*2</f>
        <v>104.15402</v>
      </c>
      <c r="D6" s="31"/>
      <c r="E6" s="31"/>
      <c r="F6" s="31"/>
      <c r="G6" s="31"/>
      <c r="H6" s="32"/>
    </row>
    <row r="7" spans="2:12" ht="16.5" x14ac:dyDescent="0.35">
      <c r="B7" s="2" t="s">
        <v>106</v>
      </c>
      <c r="C7" s="33">
        <f>7.73*2</f>
        <v>15.46</v>
      </c>
      <c r="D7" s="31"/>
      <c r="E7" s="31"/>
      <c r="F7" s="31"/>
      <c r="G7" s="31"/>
      <c r="H7" s="32"/>
    </row>
    <row r="8" spans="2:12" ht="16.5" x14ac:dyDescent="0.35">
      <c r="B8" s="60" t="s">
        <v>109</v>
      </c>
      <c r="C8" s="61">
        <f>C6+C7</f>
        <v>119.61402000000001</v>
      </c>
      <c r="D8" s="31"/>
      <c r="E8" s="31"/>
      <c r="F8" s="31"/>
      <c r="G8" s="31"/>
      <c r="H8" s="32"/>
    </row>
    <row r="9" spans="2:12" x14ac:dyDescent="0.35">
      <c r="J9" s="24" t="s">
        <v>81</v>
      </c>
    </row>
    <row r="10" spans="2:12" ht="16.5" x14ac:dyDescent="0.35">
      <c r="B10" s="7" t="s">
        <v>71</v>
      </c>
      <c r="C10" s="7" t="s">
        <v>76</v>
      </c>
      <c r="D10" s="7" t="s">
        <v>2</v>
      </c>
      <c r="E10" s="7" t="s">
        <v>79</v>
      </c>
      <c r="F10" s="7" t="s">
        <v>100</v>
      </c>
      <c r="G10" s="7" t="s">
        <v>80</v>
      </c>
      <c r="H10" s="7" t="s">
        <v>102</v>
      </c>
      <c r="I10" s="32"/>
      <c r="J10" s="35" t="s">
        <v>192</v>
      </c>
      <c r="K10" s="35">
        <v>1440</v>
      </c>
      <c r="L10" t="s">
        <v>78</v>
      </c>
    </row>
    <row r="11" spans="2:12" ht="16.5" x14ac:dyDescent="0.35">
      <c r="B11" s="62" t="s">
        <v>17</v>
      </c>
      <c r="C11" s="36">
        <f>E11*50</f>
        <v>7880</v>
      </c>
      <c r="D11" s="33">
        <f>C11/K10</f>
        <v>5.4722222222222223</v>
      </c>
      <c r="E11" s="2">
        <v>157.6</v>
      </c>
      <c r="F11" s="2"/>
      <c r="G11" s="2"/>
      <c r="H11" s="2"/>
      <c r="J11" t="s">
        <v>191</v>
      </c>
      <c r="K11" s="35">
        <v>7850</v>
      </c>
      <c r="L11" t="s">
        <v>78</v>
      </c>
    </row>
    <row r="12" spans="2:12" x14ac:dyDescent="0.35">
      <c r="B12" s="62" t="s">
        <v>16</v>
      </c>
      <c r="C12" s="36">
        <f>D12*K15</f>
        <v>31680</v>
      </c>
      <c r="D12" s="2">
        <v>19.8</v>
      </c>
      <c r="E12" s="2"/>
      <c r="F12" s="2"/>
      <c r="G12" s="2"/>
      <c r="H12" s="2"/>
      <c r="I12" s="32"/>
      <c r="J12" t="s">
        <v>89</v>
      </c>
      <c r="K12" s="35">
        <v>55</v>
      </c>
      <c r="L12" t="s">
        <v>90</v>
      </c>
    </row>
    <row r="13" spans="2:12" ht="16.5" x14ac:dyDescent="0.35">
      <c r="B13" s="62" t="s">
        <v>50</v>
      </c>
      <c r="C13" s="36">
        <f>D13*K15</f>
        <v>16000</v>
      </c>
      <c r="D13" s="2">
        <v>10</v>
      </c>
      <c r="E13" s="2"/>
      <c r="F13" s="2"/>
      <c r="G13" s="2"/>
      <c r="H13" s="2"/>
      <c r="J13" t="s">
        <v>113</v>
      </c>
      <c r="K13" s="35">
        <v>2225</v>
      </c>
      <c r="L13" t="s">
        <v>78</v>
      </c>
    </row>
    <row r="14" spans="2:12" ht="16.5" x14ac:dyDescent="0.35">
      <c r="B14" s="62" t="s">
        <v>24</v>
      </c>
      <c r="C14" s="36">
        <v>1410.1</v>
      </c>
      <c r="D14" s="33">
        <f>C14/K11</f>
        <v>0.17963057324840764</v>
      </c>
      <c r="E14" s="2"/>
      <c r="F14" s="2"/>
      <c r="G14" s="2"/>
      <c r="H14" s="2"/>
      <c r="I14" s="32"/>
      <c r="J14" t="s">
        <v>115</v>
      </c>
      <c r="K14" s="35">
        <v>7830</v>
      </c>
      <c r="L14" t="s">
        <v>78</v>
      </c>
    </row>
    <row r="15" spans="2:12" ht="16.5" x14ac:dyDescent="0.35">
      <c r="B15" s="57" t="s">
        <v>74</v>
      </c>
      <c r="C15" s="58"/>
      <c r="D15" s="59"/>
      <c r="E15" s="59"/>
      <c r="F15" s="59"/>
      <c r="G15" s="59"/>
      <c r="H15" s="59"/>
      <c r="J15" t="s">
        <v>167</v>
      </c>
      <c r="K15" s="35">
        <v>1600</v>
      </c>
      <c r="L15" t="s">
        <v>78</v>
      </c>
    </row>
    <row r="16" spans="2:12" ht="16.5" x14ac:dyDescent="0.35">
      <c r="B16" s="62" t="s">
        <v>82</v>
      </c>
      <c r="C16" s="36">
        <f>D16*K13</f>
        <v>331005.81071250001</v>
      </c>
      <c r="D16" s="42">
        <f>0.23*0.11*0.55*F16</f>
        <v>148.76665650000001</v>
      </c>
      <c r="E16" s="2"/>
      <c r="F16" s="2">
        <v>10691.1</v>
      </c>
      <c r="G16" s="2"/>
      <c r="H16" s="2"/>
      <c r="I16" s="32"/>
      <c r="J16" t="s">
        <v>168</v>
      </c>
      <c r="K16" s="35">
        <v>673</v>
      </c>
      <c r="L16" t="s">
        <v>78</v>
      </c>
    </row>
    <row r="17" spans="2:12" ht="16.5" x14ac:dyDescent="0.35">
      <c r="B17" s="62" t="s">
        <v>52</v>
      </c>
      <c r="C17" s="36">
        <f>D17*K19</f>
        <v>1343</v>
      </c>
      <c r="D17" s="2">
        <v>1.7</v>
      </c>
      <c r="E17" s="2"/>
      <c r="F17" s="2"/>
      <c r="G17" s="2"/>
      <c r="H17" s="2"/>
      <c r="I17" s="32"/>
      <c r="J17" t="s">
        <v>169</v>
      </c>
      <c r="K17" s="35">
        <v>1906</v>
      </c>
      <c r="L17" t="s">
        <v>78</v>
      </c>
    </row>
    <row r="18" spans="2:12" ht="16.5" x14ac:dyDescent="0.35">
      <c r="B18" s="63" t="s">
        <v>92</v>
      </c>
      <c r="C18" s="58"/>
      <c r="D18" s="59"/>
      <c r="E18" s="59"/>
      <c r="F18" s="59"/>
      <c r="G18" s="59"/>
      <c r="H18" s="59"/>
      <c r="J18" t="s">
        <v>171</v>
      </c>
      <c r="K18" s="35">
        <v>2691</v>
      </c>
      <c r="L18" t="s">
        <v>78</v>
      </c>
    </row>
    <row r="19" spans="2:12" ht="16.5" x14ac:dyDescent="0.35">
      <c r="B19" s="63" t="s">
        <v>51</v>
      </c>
      <c r="C19" s="70"/>
      <c r="D19" s="66"/>
      <c r="E19" s="66"/>
      <c r="F19" s="66"/>
      <c r="G19" s="66"/>
      <c r="H19" s="66"/>
      <c r="J19" t="s">
        <v>173</v>
      </c>
      <c r="K19" s="35">
        <v>790</v>
      </c>
      <c r="L19" t="s">
        <v>78</v>
      </c>
    </row>
    <row r="20" spans="2:12" ht="16.5" x14ac:dyDescent="0.35">
      <c r="B20" s="63" t="s">
        <v>104</v>
      </c>
      <c r="C20" s="58"/>
      <c r="D20" s="59"/>
      <c r="E20" s="59"/>
      <c r="F20" s="59"/>
      <c r="G20" s="59"/>
      <c r="H20" s="59"/>
      <c r="J20" t="s">
        <v>180</v>
      </c>
      <c r="K20" s="35">
        <v>2800</v>
      </c>
      <c r="L20" t="s">
        <v>78</v>
      </c>
    </row>
    <row r="21" spans="2:12" x14ac:dyDescent="0.35">
      <c r="B21" s="62" t="s">
        <v>70</v>
      </c>
      <c r="C21" s="36">
        <f>55*G21</f>
        <v>450.99999999999994</v>
      </c>
      <c r="D21" s="33">
        <f>C21/K13</f>
        <v>0.20269662921348311</v>
      </c>
      <c r="E21" s="2"/>
      <c r="F21" s="2"/>
      <c r="G21" s="2">
        <v>8.1999999999999993</v>
      </c>
      <c r="H21" s="2"/>
      <c r="J21" t="s">
        <v>174</v>
      </c>
      <c r="K21" t="s">
        <v>175</v>
      </c>
      <c r="L21" t="s">
        <v>116</v>
      </c>
    </row>
    <row r="22" spans="2:12" ht="16.5" x14ac:dyDescent="0.35">
      <c r="B22" s="62" t="s">
        <v>95</v>
      </c>
      <c r="C22" s="36"/>
      <c r="D22" s="22"/>
      <c r="E22" s="2"/>
      <c r="F22" s="2"/>
      <c r="G22" s="2"/>
      <c r="H22" s="2">
        <v>9.8000000000000007</v>
      </c>
      <c r="J22" t="s">
        <v>182</v>
      </c>
      <c r="K22" s="38">
        <v>1920</v>
      </c>
      <c r="L22" t="s">
        <v>78</v>
      </c>
    </row>
    <row r="23" spans="2:12" ht="16.5" x14ac:dyDescent="0.35">
      <c r="B23" s="57" t="s">
        <v>101</v>
      </c>
      <c r="C23" s="58"/>
      <c r="D23" s="59"/>
      <c r="E23" s="59"/>
      <c r="F23" s="59"/>
      <c r="G23" s="59"/>
      <c r="H23" s="59"/>
      <c r="J23" t="s">
        <v>184</v>
      </c>
      <c r="K23" s="35">
        <v>1600</v>
      </c>
      <c r="L23" t="s">
        <v>78</v>
      </c>
    </row>
    <row r="24" spans="2:12" x14ac:dyDescent="0.35">
      <c r="B24" s="62" t="s">
        <v>126</v>
      </c>
      <c r="C24" s="36">
        <v>1408</v>
      </c>
      <c r="D24" s="22"/>
      <c r="E24" s="2"/>
      <c r="F24" s="2"/>
      <c r="G24" s="2"/>
      <c r="H24" s="2"/>
      <c r="J24" t="s">
        <v>186</v>
      </c>
      <c r="K24" t="s">
        <v>187</v>
      </c>
      <c r="L24" t="s">
        <v>188</v>
      </c>
    </row>
    <row r="25" spans="2:12" x14ac:dyDescent="0.35">
      <c r="B25" s="57" t="s">
        <v>121</v>
      </c>
      <c r="C25" s="59"/>
      <c r="D25" s="59"/>
      <c r="E25" s="59"/>
      <c r="F25" s="59"/>
      <c r="G25" s="59"/>
      <c r="H25" s="59"/>
      <c r="J25" t="s">
        <v>189</v>
      </c>
      <c r="K25" s="78" t="s">
        <v>196</v>
      </c>
      <c r="L25" t="s">
        <v>190</v>
      </c>
    </row>
    <row r="26" spans="2:12" x14ac:dyDescent="0.35">
      <c r="B26" s="57" t="s">
        <v>120</v>
      </c>
      <c r="C26" s="59"/>
      <c r="D26" s="59"/>
      <c r="E26" s="59"/>
      <c r="F26" s="59"/>
      <c r="G26" s="59"/>
      <c r="H26" s="59"/>
      <c r="J26" t="s">
        <v>118</v>
      </c>
      <c r="K26">
        <v>10</v>
      </c>
      <c r="L26" t="s">
        <v>198</v>
      </c>
    </row>
    <row r="27" spans="2:12" x14ac:dyDescent="0.35">
      <c r="B27" s="57" t="s">
        <v>93</v>
      </c>
      <c r="C27" s="59"/>
      <c r="D27" s="59"/>
      <c r="E27" s="59"/>
      <c r="F27" s="59"/>
      <c r="G27" s="59"/>
      <c r="H27" s="59"/>
      <c r="J27" t="s">
        <v>117</v>
      </c>
      <c r="K27">
        <v>75</v>
      </c>
      <c r="L27" t="s">
        <v>116</v>
      </c>
    </row>
    <row r="28" spans="2:12" x14ac:dyDescent="0.35">
      <c r="J28" t="s">
        <v>199</v>
      </c>
      <c r="K28">
        <v>10</v>
      </c>
      <c r="L28" t="s">
        <v>116</v>
      </c>
    </row>
    <row r="29" spans="2:12" x14ac:dyDescent="0.35">
      <c r="K29" s="36"/>
    </row>
    <row r="35" spans="10:10" x14ac:dyDescent="0.35">
      <c r="J35" s="43" t="s">
        <v>114</v>
      </c>
    </row>
  </sheetData>
  <mergeCells count="1">
    <mergeCell ref="B4:C4"/>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8"/>
  <sheetViews>
    <sheetView topLeftCell="B11" workbookViewId="0">
      <selection activeCell="D22" sqref="D22"/>
    </sheetView>
  </sheetViews>
  <sheetFormatPr defaultRowHeight="14.5" x14ac:dyDescent="0.35"/>
  <cols>
    <col min="1" max="1" width="10.36328125" bestFit="1" customWidth="1"/>
    <col min="2" max="2" width="29.26953125" bestFit="1" customWidth="1"/>
    <col min="3" max="3" width="12.1796875" bestFit="1" customWidth="1"/>
    <col min="4" max="4" width="17.1796875" customWidth="1"/>
    <col min="5" max="5" width="17.1796875" bestFit="1" customWidth="1"/>
    <col min="6" max="6" width="10.453125" customWidth="1"/>
    <col min="7" max="7" width="11.26953125" bestFit="1" customWidth="1"/>
    <col min="10" max="10" width="22.1796875" bestFit="1" customWidth="1"/>
    <col min="11" max="11" width="10.6328125" bestFit="1" customWidth="1"/>
  </cols>
  <sheetData>
    <row r="2" spans="2:12" ht="18.5" x14ac:dyDescent="0.45">
      <c r="B2" s="55" t="s">
        <v>127</v>
      </c>
    </row>
    <row r="4" spans="2:12" x14ac:dyDescent="0.35">
      <c r="B4" s="99" t="s">
        <v>124</v>
      </c>
      <c r="C4" s="99"/>
      <c r="D4" s="31"/>
      <c r="E4" s="31"/>
      <c r="F4" s="31"/>
      <c r="G4" s="31"/>
      <c r="H4" s="32"/>
      <c r="I4" s="32"/>
      <c r="J4" s="32"/>
      <c r="K4" s="32"/>
      <c r="L4" s="32"/>
    </row>
    <row r="5" spans="2:12" x14ac:dyDescent="0.35">
      <c r="B5" s="60" t="s">
        <v>72</v>
      </c>
      <c r="C5" s="65">
        <v>2</v>
      </c>
      <c r="D5" s="31"/>
      <c r="E5" s="31"/>
      <c r="F5" s="31"/>
      <c r="G5" s="31"/>
      <c r="H5" s="32"/>
      <c r="I5" s="32"/>
      <c r="J5" s="32"/>
      <c r="K5" s="32"/>
      <c r="L5" s="32"/>
    </row>
    <row r="6" spans="2:12" ht="16.5" x14ac:dyDescent="0.35">
      <c r="B6" s="2" t="s">
        <v>105</v>
      </c>
      <c r="C6" s="33">
        <f>9.1*6.59*2-(1.5*9.1*2)</f>
        <v>92.637999999999991</v>
      </c>
      <c r="D6" s="31"/>
      <c r="E6" s="31"/>
      <c r="F6" s="31"/>
      <c r="G6" s="31"/>
      <c r="H6" s="32"/>
    </row>
    <row r="7" spans="2:12" ht="16.5" x14ac:dyDescent="0.35">
      <c r="B7" s="2" t="s">
        <v>106</v>
      </c>
      <c r="C7" s="33">
        <f>1.5*9.1*2</f>
        <v>27.299999999999997</v>
      </c>
      <c r="D7" s="31"/>
      <c r="E7" s="31"/>
      <c r="F7" s="31"/>
      <c r="G7" s="31"/>
      <c r="H7" s="32"/>
    </row>
    <row r="8" spans="2:12" ht="16.5" x14ac:dyDescent="0.35">
      <c r="B8" s="52" t="s">
        <v>109</v>
      </c>
      <c r="C8" s="53">
        <f>SUM(C6:C7)</f>
        <v>119.93799999999999</v>
      </c>
      <c r="D8" s="31"/>
      <c r="E8" s="31"/>
      <c r="F8" s="31"/>
      <c r="G8" s="31"/>
      <c r="H8" s="32"/>
    </row>
    <row r="9" spans="2:12" x14ac:dyDescent="0.35">
      <c r="J9" s="24" t="s">
        <v>81</v>
      </c>
    </row>
    <row r="10" spans="2:12" ht="16.5" x14ac:dyDescent="0.35">
      <c r="B10" s="7" t="s">
        <v>71</v>
      </c>
      <c r="C10" s="7" t="s">
        <v>76</v>
      </c>
      <c r="D10" s="7" t="s">
        <v>2</v>
      </c>
      <c r="E10" s="7" t="s">
        <v>79</v>
      </c>
      <c r="F10" s="7" t="s">
        <v>100</v>
      </c>
      <c r="G10" s="7" t="s">
        <v>80</v>
      </c>
      <c r="H10" s="7" t="s">
        <v>125</v>
      </c>
      <c r="I10" s="32"/>
      <c r="J10" s="35" t="s">
        <v>192</v>
      </c>
      <c r="K10" s="35">
        <v>1440</v>
      </c>
      <c r="L10" t="s">
        <v>78</v>
      </c>
    </row>
    <row r="11" spans="2:12" ht="16.5" x14ac:dyDescent="0.35">
      <c r="B11" s="50" t="s">
        <v>17</v>
      </c>
      <c r="C11" s="36">
        <f>E11*50</f>
        <v>6520</v>
      </c>
      <c r="D11" s="31"/>
      <c r="E11" s="50">
        <v>130.4</v>
      </c>
      <c r="F11" s="2"/>
      <c r="G11" s="2"/>
      <c r="H11" s="2"/>
      <c r="J11" t="s">
        <v>191</v>
      </c>
      <c r="K11" s="35">
        <v>7850</v>
      </c>
      <c r="L11" t="s">
        <v>78</v>
      </c>
    </row>
    <row r="12" spans="2:12" x14ac:dyDescent="0.35">
      <c r="B12" s="56" t="s">
        <v>16</v>
      </c>
      <c r="C12" s="36">
        <f>D12*K15</f>
        <v>17440</v>
      </c>
      <c r="D12" s="84">
        <v>10.9</v>
      </c>
      <c r="E12" s="2"/>
      <c r="F12" s="36"/>
      <c r="G12" s="2"/>
      <c r="H12" s="2"/>
      <c r="I12" s="32"/>
      <c r="J12" t="s">
        <v>89</v>
      </c>
      <c r="K12" s="35">
        <v>55</v>
      </c>
      <c r="L12" t="s">
        <v>90</v>
      </c>
    </row>
    <row r="13" spans="2:12" ht="16.5" x14ac:dyDescent="0.35">
      <c r="B13" s="50" t="s">
        <v>50</v>
      </c>
      <c r="C13" s="80">
        <f>D13*K15</f>
        <v>28639.999999999996</v>
      </c>
      <c r="D13" s="84">
        <v>17.899999999999999</v>
      </c>
      <c r="E13" s="50"/>
      <c r="F13" s="50"/>
      <c r="G13" s="50"/>
      <c r="H13" s="50"/>
      <c r="J13" t="s">
        <v>113</v>
      </c>
      <c r="K13" s="35">
        <v>2225</v>
      </c>
      <c r="L13" t="s">
        <v>78</v>
      </c>
    </row>
    <row r="14" spans="2:12" ht="16.5" x14ac:dyDescent="0.35">
      <c r="B14" s="50" t="s">
        <v>24</v>
      </c>
      <c r="C14" s="80">
        <v>630</v>
      </c>
      <c r="D14" s="84"/>
      <c r="E14" s="50"/>
      <c r="F14" s="50"/>
      <c r="G14" s="50"/>
      <c r="H14" s="50"/>
      <c r="I14" s="32"/>
      <c r="J14" t="s">
        <v>115</v>
      </c>
      <c r="K14" s="35">
        <v>7830</v>
      </c>
      <c r="L14" t="s">
        <v>78</v>
      </c>
    </row>
    <row r="15" spans="2:12" ht="16.5" x14ac:dyDescent="0.35">
      <c r="B15" s="62" t="s">
        <v>74</v>
      </c>
      <c r="C15" s="81">
        <f>D15*K22</f>
        <v>11033.1410688</v>
      </c>
      <c r="D15" s="84">
        <f>F15*0.24*0.115*0.057</f>
        <v>5.7464276399999994</v>
      </c>
      <c r="E15" s="62"/>
      <c r="F15" s="62">
        <v>3652.7</v>
      </c>
      <c r="G15" s="62"/>
      <c r="H15" s="62"/>
      <c r="J15" t="s">
        <v>167</v>
      </c>
      <c r="K15" s="35">
        <v>1600</v>
      </c>
      <c r="L15" t="s">
        <v>78</v>
      </c>
    </row>
    <row r="16" spans="2:12" ht="16.5" x14ac:dyDescent="0.35">
      <c r="B16" s="57" t="s">
        <v>82</v>
      </c>
      <c r="C16" s="82"/>
      <c r="D16" s="85">
        <v>0</v>
      </c>
      <c r="E16" s="57"/>
      <c r="F16" s="57"/>
      <c r="G16" s="57"/>
      <c r="H16" s="57"/>
      <c r="J16" t="s">
        <v>168</v>
      </c>
      <c r="K16" s="35">
        <v>673</v>
      </c>
      <c r="L16" t="s">
        <v>78</v>
      </c>
    </row>
    <row r="17" spans="2:12" ht="16.5" x14ac:dyDescent="0.35">
      <c r="B17" s="50" t="s">
        <v>52</v>
      </c>
      <c r="C17" s="80">
        <f>D17*K19</f>
        <v>13035</v>
      </c>
      <c r="D17" s="84">
        <v>16.5</v>
      </c>
      <c r="E17" s="50"/>
      <c r="F17" s="50"/>
      <c r="G17" s="50"/>
      <c r="H17" s="50"/>
      <c r="J17" t="s">
        <v>169</v>
      </c>
      <c r="K17" s="35">
        <v>1906</v>
      </c>
      <c r="L17" t="s">
        <v>78</v>
      </c>
    </row>
    <row r="18" spans="2:12" ht="16.5" x14ac:dyDescent="0.35">
      <c r="B18" s="63" t="s">
        <v>92</v>
      </c>
      <c r="C18" s="83"/>
      <c r="D18" s="86"/>
      <c r="E18" s="63"/>
      <c r="F18" s="63"/>
      <c r="G18" s="63"/>
      <c r="H18" s="63"/>
      <c r="J18" t="s">
        <v>171</v>
      </c>
      <c r="K18" s="35">
        <v>2691</v>
      </c>
      <c r="L18" t="s">
        <v>78</v>
      </c>
    </row>
    <row r="19" spans="2:12" ht="16.5" x14ac:dyDescent="0.35">
      <c r="B19" s="63" t="s">
        <v>51</v>
      </c>
      <c r="C19" s="83"/>
      <c r="D19" s="86"/>
      <c r="E19" s="63"/>
      <c r="F19" s="63"/>
      <c r="G19" s="63"/>
      <c r="H19" s="63"/>
      <c r="J19" t="s">
        <v>173</v>
      </c>
      <c r="K19" s="35">
        <v>790</v>
      </c>
      <c r="L19" t="s">
        <v>78</v>
      </c>
    </row>
    <row r="20" spans="2:12" ht="16.5" x14ac:dyDescent="0.35">
      <c r="B20" s="63" t="s">
        <v>104</v>
      </c>
      <c r="C20" s="83"/>
      <c r="D20" s="86"/>
      <c r="E20" s="63"/>
      <c r="F20" s="63"/>
      <c r="G20" s="63"/>
      <c r="H20" s="63"/>
      <c r="J20" t="s">
        <v>180</v>
      </c>
      <c r="K20" s="35">
        <v>2800</v>
      </c>
      <c r="L20" t="s">
        <v>78</v>
      </c>
    </row>
    <row r="21" spans="2:12" x14ac:dyDescent="0.35">
      <c r="B21" s="50" t="s">
        <v>70</v>
      </c>
      <c r="C21" s="80">
        <f>55*G21</f>
        <v>368.5</v>
      </c>
      <c r="D21" s="84"/>
      <c r="E21" s="50"/>
      <c r="F21" s="50"/>
      <c r="G21" s="50">
        <v>6.7</v>
      </c>
      <c r="H21" s="50"/>
      <c r="J21" t="s">
        <v>174</v>
      </c>
      <c r="K21" t="s">
        <v>175</v>
      </c>
      <c r="L21" t="s">
        <v>116</v>
      </c>
    </row>
    <row r="22" spans="2:12" ht="16.5" x14ac:dyDescent="0.35">
      <c r="B22" s="50" t="s">
        <v>95</v>
      </c>
      <c r="C22" s="81">
        <f>D22*K11</f>
        <v>31.321500000000004</v>
      </c>
      <c r="D22" s="139">
        <f>H22*0.4/1000*875/1000</f>
        <v>3.9900000000000005E-3</v>
      </c>
      <c r="E22" s="50"/>
      <c r="F22" s="50"/>
      <c r="G22" s="50"/>
      <c r="H22" s="50">
        <v>11.4</v>
      </c>
      <c r="J22" t="s">
        <v>182</v>
      </c>
      <c r="K22" s="38">
        <v>1920</v>
      </c>
      <c r="L22" t="s">
        <v>78</v>
      </c>
    </row>
    <row r="23" spans="2:12" ht="16.5" x14ac:dyDescent="0.35">
      <c r="B23" s="57" t="s">
        <v>101</v>
      </c>
      <c r="C23" s="82"/>
      <c r="D23" s="57"/>
      <c r="E23" s="57"/>
      <c r="F23" s="57"/>
      <c r="G23" s="57"/>
      <c r="H23" s="57"/>
      <c r="J23" t="s">
        <v>184</v>
      </c>
      <c r="K23" s="35">
        <v>1600</v>
      </c>
      <c r="L23" t="s">
        <v>78</v>
      </c>
    </row>
    <row r="24" spans="2:12" x14ac:dyDescent="0.35">
      <c r="B24" s="50" t="s">
        <v>126</v>
      </c>
      <c r="C24" s="80">
        <v>526.29999999999995</v>
      </c>
      <c r="D24" s="62"/>
      <c r="E24" s="50"/>
      <c r="F24" s="50"/>
      <c r="G24" s="50"/>
      <c r="H24" s="50"/>
      <c r="J24" t="s">
        <v>186</v>
      </c>
      <c r="K24" t="s">
        <v>187</v>
      </c>
      <c r="L24" t="s">
        <v>188</v>
      </c>
    </row>
    <row r="25" spans="2:12" x14ac:dyDescent="0.35">
      <c r="B25" s="57" t="s">
        <v>121</v>
      </c>
      <c r="C25" s="57"/>
      <c r="D25" s="57"/>
      <c r="E25" s="57"/>
      <c r="F25" s="57"/>
      <c r="G25" s="57"/>
      <c r="H25" s="57"/>
      <c r="J25" t="s">
        <v>189</v>
      </c>
      <c r="K25" s="78" t="s">
        <v>196</v>
      </c>
      <c r="L25" t="s">
        <v>190</v>
      </c>
    </row>
    <row r="26" spans="2:12" x14ac:dyDescent="0.35">
      <c r="B26" s="57" t="s">
        <v>120</v>
      </c>
      <c r="C26" s="57"/>
      <c r="D26" s="57">
        <v>0</v>
      </c>
      <c r="E26" s="57"/>
      <c r="F26" s="57"/>
      <c r="G26" s="57"/>
      <c r="H26" s="57"/>
      <c r="J26" t="s">
        <v>118</v>
      </c>
      <c r="K26">
        <v>10</v>
      </c>
      <c r="L26" t="s">
        <v>198</v>
      </c>
    </row>
    <row r="27" spans="2:12" x14ac:dyDescent="0.35">
      <c r="B27" s="57" t="s">
        <v>93</v>
      </c>
      <c r="C27" s="59"/>
      <c r="D27" s="59"/>
      <c r="E27" s="59"/>
      <c r="F27" s="59"/>
      <c r="G27" s="59"/>
      <c r="H27" s="59"/>
      <c r="J27" t="s">
        <v>117</v>
      </c>
      <c r="K27">
        <v>75</v>
      </c>
      <c r="L27" t="s">
        <v>116</v>
      </c>
    </row>
    <row r="28" spans="2:12" x14ac:dyDescent="0.35">
      <c r="J28" t="s">
        <v>199</v>
      </c>
      <c r="K28">
        <v>10</v>
      </c>
      <c r="L28" t="s">
        <v>116</v>
      </c>
    </row>
  </sheetData>
  <mergeCells count="1">
    <mergeCell ref="B4:C4"/>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8"/>
  <sheetViews>
    <sheetView topLeftCell="A11" workbookViewId="0">
      <selection activeCell="D22" sqref="D22"/>
    </sheetView>
  </sheetViews>
  <sheetFormatPr defaultRowHeight="14.5" x14ac:dyDescent="0.35"/>
  <cols>
    <col min="1" max="1" width="6.7265625" customWidth="1"/>
    <col min="2" max="2" width="29.26953125" bestFit="1" customWidth="1"/>
    <col min="3" max="3" width="12.1796875" bestFit="1" customWidth="1"/>
    <col min="4" max="4" width="12.1796875" customWidth="1"/>
    <col min="5" max="5" width="17.1796875" bestFit="1" customWidth="1"/>
    <col min="6" max="6" width="10.453125" customWidth="1"/>
    <col min="7" max="7" width="11.26953125" bestFit="1" customWidth="1"/>
    <col min="10" max="10" width="22.1796875" bestFit="1" customWidth="1"/>
  </cols>
  <sheetData>
    <row r="2" spans="2:12" ht="18.5" x14ac:dyDescent="0.45">
      <c r="B2" s="55" t="s">
        <v>128</v>
      </c>
    </row>
    <row r="4" spans="2:12" x14ac:dyDescent="0.35">
      <c r="B4" s="100" t="s">
        <v>124</v>
      </c>
      <c r="C4" s="101"/>
      <c r="D4" s="76"/>
      <c r="E4" s="31"/>
      <c r="F4" s="31"/>
      <c r="G4" s="31"/>
      <c r="H4" s="32"/>
      <c r="I4" s="32"/>
      <c r="J4" s="32"/>
      <c r="K4" s="32"/>
      <c r="L4" s="32"/>
    </row>
    <row r="5" spans="2:12" x14ac:dyDescent="0.35">
      <c r="B5" s="60" t="s">
        <v>72</v>
      </c>
      <c r="C5" s="65">
        <v>2</v>
      </c>
      <c r="D5" s="79"/>
      <c r="E5" s="31"/>
      <c r="F5" s="31"/>
      <c r="G5" s="31"/>
      <c r="H5" s="32"/>
      <c r="I5" s="32"/>
      <c r="J5" s="32"/>
      <c r="K5" s="32"/>
      <c r="L5" s="32"/>
    </row>
    <row r="6" spans="2:12" ht="16.5" x14ac:dyDescent="0.35">
      <c r="B6" s="2" t="s">
        <v>105</v>
      </c>
      <c r="C6" s="33">
        <f>7.7*4.52*2+1.93*3.35*2</f>
        <v>82.538999999999987</v>
      </c>
      <c r="D6" s="74"/>
      <c r="E6" s="31"/>
      <c r="F6" s="31"/>
      <c r="G6" s="31"/>
      <c r="H6" s="32"/>
    </row>
    <row r="7" spans="2:12" ht="16.5" x14ac:dyDescent="0.35">
      <c r="B7" s="2" t="s">
        <v>106</v>
      </c>
      <c r="C7" s="33">
        <f>7.7*2.06+2.06*1.93</f>
        <v>19.837800000000001</v>
      </c>
      <c r="D7" s="74"/>
      <c r="E7" s="31"/>
      <c r="F7" s="31"/>
      <c r="G7" s="31"/>
      <c r="H7" s="32"/>
    </row>
    <row r="8" spans="2:12" ht="16.5" x14ac:dyDescent="0.35">
      <c r="B8" s="60" t="s">
        <v>109</v>
      </c>
      <c r="C8" s="61">
        <f>SUM(C6:C7)</f>
        <v>102.37679999999999</v>
      </c>
      <c r="D8" s="75"/>
      <c r="E8" s="31"/>
      <c r="F8" s="31"/>
      <c r="G8" s="31"/>
      <c r="H8" s="32"/>
    </row>
    <row r="9" spans="2:12" x14ac:dyDescent="0.35">
      <c r="J9" s="24" t="s">
        <v>81</v>
      </c>
    </row>
    <row r="10" spans="2:12" ht="16.5" x14ac:dyDescent="0.35">
      <c r="B10" s="7" t="s">
        <v>71</v>
      </c>
      <c r="C10" s="7" t="s">
        <v>76</v>
      </c>
      <c r="D10" s="7" t="s">
        <v>2</v>
      </c>
      <c r="E10" s="7" t="s">
        <v>79</v>
      </c>
      <c r="F10" s="7" t="s">
        <v>100</v>
      </c>
      <c r="G10" s="7" t="s">
        <v>80</v>
      </c>
      <c r="H10" s="7" t="s">
        <v>102</v>
      </c>
      <c r="I10" s="32"/>
      <c r="J10" s="35" t="s">
        <v>192</v>
      </c>
      <c r="K10" s="35">
        <v>1440</v>
      </c>
      <c r="L10" t="s">
        <v>78</v>
      </c>
    </row>
    <row r="11" spans="2:12" ht="16.5" x14ac:dyDescent="0.35">
      <c r="B11" s="57" t="s">
        <v>17</v>
      </c>
      <c r="C11" s="58"/>
      <c r="D11" s="58">
        <v>0</v>
      </c>
      <c r="E11" s="58"/>
      <c r="F11" s="58"/>
      <c r="G11" s="58"/>
      <c r="H11" s="58"/>
      <c r="J11" t="s">
        <v>191</v>
      </c>
      <c r="K11" s="35">
        <v>7850</v>
      </c>
      <c r="L11" t="s">
        <v>78</v>
      </c>
    </row>
    <row r="12" spans="2:12" x14ac:dyDescent="0.35">
      <c r="B12" s="57" t="s">
        <v>16</v>
      </c>
      <c r="C12" s="58"/>
      <c r="D12" s="58">
        <v>0</v>
      </c>
      <c r="E12" s="58"/>
      <c r="F12" s="58"/>
      <c r="G12" s="58"/>
      <c r="H12" s="58"/>
      <c r="I12" s="32"/>
      <c r="J12" t="s">
        <v>89</v>
      </c>
      <c r="K12" s="35">
        <v>55</v>
      </c>
      <c r="L12" t="s">
        <v>90</v>
      </c>
    </row>
    <row r="13" spans="2:12" ht="16.5" x14ac:dyDescent="0.35">
      <c r="B13" s="57" t="s">
        <v>50</v>
      </c>
      <c r="C13" s="58"/>
      <c r="D13" s="58">
        <v>0</v>
      </c>
      <c r="E13" s="58"/>
      <c r="F13" s="58"/>
      <c r="G13" s="58"/>
      <c r="H13" s="58"/>
      <c r="J13" t="s">
        <v>113</v>
      </c>
      <c r="K13" s="35">
        <v>2225</v>
      </c>
      <c r="L13" t="s">
        <v>78</v>
      </c>
    </row>
    <row r="14" spans="2:12" ht="16.5" x14ac:dyDescent="0.35">
      <c r="B14" s="57" t="s">
        <v>24</v>
      </c>
      <c r="C14" s="58"/>
      <c r="D14" s="58">
        <v>0</v>
      </c>
      <c r="E14" s="58"/>
      <c r="F14" s="58"/>
      <c r="G14" s="58"/>
      <c r="H14" s="58"/>
      <c r="I14" s="32"/>
      <c r="J14" t="s">
        <v>115</v>
      </c>
      <c r="K14" s="35">
        <v>7830</v>
      </c>
      <c r="L14" t="s">
        <v>78</v>
      </c>
    </row>
    <row r="15" spans="2:12" ht="16.5" x14ac:dyDescent="0.35">
      <c r="B15" s="57" t="s">
        <v>74</v>
      </c>
      <c r="C15" s="58"/>
      <c r="D15" s="58">
        <v>0</v>
      </c>
      <c r="E15" s="58"/>
      <c r="F15" s="58"/>
      <c r="G15" s="58"/>
      <c r="H15" s="58"/>
      <c r="J15" t="s">
        <v>167</v>
      </c>
      <c r="K15" s="35">
        <v>1600</v>
      </c>
      <c r="L15" t="s">
        <v>78</v>
      </c>
    </row>
    <row r="16" spans="2:12" ht="16.5" x14ac:dyDescent="0.35">
      <c r="B16" s="57" t="s">
        <v>82</v>
      </c>
      <c r="C16" s="58"/>
      <c r="D16" s="58">
        <v>0</v>
      </c>
      <c r="E16" s="58"/>
      <c r="F16" s="58"/>
      <c r="G16" s="58"/>
      <c r="H16" s="58"/>
      <c r="J16" t="s">
        <v>168</v>
      </c>
      <c r="K16" s="35">
        <v>673</v>
      </c>
      <c r="L16" t="s">
        <v>78</v>
      </c>
    </row>
    <row r="17" spans="2:12" ht="16.5" x14ac:dyDescent="0.35">
      <c r="B17" s="50" t="s">
        <v>52</v>
      </c>
      <c r="C17" s="36">
        <f>D17*K19</f>
        <v>1027</v>
      </c>
      <c r="D17" s="33">
        <v>1.3</v>
      </c>
      <c r="E17" s="36"/>
      <c r="F17" s="36"/>
      <c r="G17" s="36"/>
      <c r="H17" s="36"/>
      <c r="J17" t="s">
        <v>169</v>
      </c>
      <c r="K17" s="35">
        <v>1906</v>
      </c>
      <c r="L17" t="s">
        <v>78</v>
      </c>
    </row>
    <row r="18" spans="2:12" ht="16.5" x14ac:dyDescent="0.35">
      <c r="B18" s="50" t="s">
        <v>92</v>
      </c>
      <c r="C18" s="36">
        <f>D18*K17</f>
        <v>40216.600000000006</v>
      </c>
      <c r="D18" s="33">
        <v>21.1</v>
      </c>
      <c r="E18" s="2"/>
      <c r="F18" s="2"/>
      <c r="G18" s="2"/>
      <c r="H18" s="2"/>
      <c r="J18" t="s">
        <v>171</v>
      </c>
      <c r="K18" s="35">
        <v>2691</v>
      </c>
      <c r="L18" t="s">
        <v>78</v>
      </c>
    </row>
    <row r="19" spans="2:12" ht="16.5" x14ac:dyDescent="0.35">
      <c r="B19" s="50" t="s">
        <v>51</v>
      </c>
      <c r="C19" s="36">
        <f>D19*K18</f>
        <v>88533.9</v>
      </c>
      <c r="D19" s="23">
        <v>32.9</v>
      </c>
      <c r="E19" s="2"/>
      <c r="F19" s="2"/>
      <c r="G19" s="2"/>
      <c r="H19" s="2"/>
      <c r="J19" t="s">
        <v>173</v>
      </c>
      <c r="K19" s="35">
        <v>790</v>
      </c>
      <c r="L19" t="s">
        <v>78</v>
      </c>
    </row>
    <row r="20" spans="2:12" ht="16.5" x14ac:dyDescent="0.35">
      <c r="B20" s="50" t="s">
        <v>104</v>
      </c>
      <c r="C20" s="36">
        <f>D20*K16</f>
        <v>6808.0197758882932</v>
      </c>
      <c r="D20" s="23">
        <f>10*(PI()*(POWER(0.075,2)-POWER(0.065,2)))*F20</f>
        <v>10.115928344559128</v>
      </c>
      <c r="E20" s="2"/>
      <c r="F20" s="2">
        <v>230</v>
      </c>
      <c r="G20" s="2"/>
      <c r="H20" s="2"/>
      <c r="J20" t="s">
        <v>180</v>
      </c>
      <c r="K20" s="35">
        <v>2800</v>
      </c>
      <c r="L20" t="s">
        <v>78</v>
      </c>
    </row>
    <row r="21" spans="2:12" x14ac:dyDescent="0.35">
      <c r="B21" s="50" t="s">
        <v>70</v>
      </c>
      <c r="C21" s="36">
        <f>55*G21</f>
        <v>308</v>
      </c>
      <c r="D21" s="33">
        <f>C21/K13</f>
        <v>0.13842696629213483</v>
      </c>
      <c r="E21" s="2"/>
      <c r="F21" s="2"/>
      <c r="G21" s="2">
        <v>5.6</v>
      </c>
      <c r="H21" s="2"/>
      <c r="J21" t="s">
        <v>174</v>
      </c>
      <c r="K21" t="s">
        <v>175</v>
      </c>
      <c r="L21" t="s">
        <v>116</v>
      </c>
    </row>
    <row r="22" spans="2:12" ht="16.5" x14ac:dyDescent="0.35">
      <c r="B22" s="50" t="s">
        <v>95</v>
      </c>
      <c r="C22" s="36">
        <f>D22*K11</f>
        <v>26.101250000000004</v>
      </c>
      <c r="D22" s="134">
        <f>H22*0.4/1000*875/1000</f>
        <v>3.3250000000000003E-3</v>
      </c>
      <c r="E22" s="2"/>
      <c r="F22" s="2"/>
      <c r="G22" s="2"/>
      <c r="H22" s="2">
        <v>9.5</v>
      </c>
      <c r="J22" t="s">
        <v>182</v>
      </c>
      <c r="K22" s="38">
        <v>1920</v>
      </c>
      <c r="L22" t="s">
        <v>78</v>
      </c>
    </row>
    <row r="23" spans="2:12" ht="16.5" x14ac:dyDescent="0.35">
      <c r="B23" s="57" t="s">
        <v>101</v>
      </c>
      <c r="C23" s="59"/>
      <c r="D23" s="59">
        <v>0</v>
      </c>
      <c r="E23" s="59"/>
      <c r="F23" s="59"/>
      <c r="G23" s="59"/>
      <c r="H23" s="59"/>
      <c r="J23" t="s">
        <v>184</v>
      </c>
      <c r="K23" s="35">
        <v>1600</v>
      </c>
      <c r="L23" t="s">
        <v>78</v>
      </c>
    </row>
    <row r="24" spans="2:12" x14ac:dyDescent="0.35">
      <c r="B24" s="57" t="s">
        <v>103</v>
      </c>
      <c r="C24" s="59"/>
      <c r="D24" s="59">
        <v>0</v>
      </c>
      <c r="E24" s="59"/>
      <c r="F24" s="59"/>
      <c r="G24" s="59"/>
      <c r="H24" s="59"/>
      <c r="J24" t="s">
        <v>186</v>
      </c>
      <c r="K24" t="s">
        <v>187</v>
      </c>
      <c r="L24" t="s">
        <v>188</v>
      </c>
    </row>
    <row r="25" spans="2:12" x14ac:dyDescent="0.35">
      <c r="B25" s="57" t="s">
        <v>121</v>
      </c>
      <c r="C25" s="59"/>
      <c r="D25" s="59">
        <v>0</v>
      </c>
      <c r="E25" s="59"/>
      <c r="F25" s="59"/>
      <c r="G25" s="59"/>
      <c r="H25" s="59"/>
      <c r="J25" t="s">
        <v>189</v>
      </c>
      <c r="K25" s="78" t="s">
        <v>196</v>
      </c>
      <c r="L25" t="s">
        <v>190</v>
      </c>
    </row>
    <row r="26" spans="2:12" x14ac:dyDescent="0.35">
      <c r="B26" s="57" t="s">
        <v>120</v>
      </c>
      <c r="C26" s="59"/>
      <c r="D26" s="59">
        <v>0</v>
      </c>
      <c r="E26" s="59"/>
      <c r="F26" s="59"/>
      <c r="G26" s="59"/>
      <c r="H26" s="59"/>
      <c r="J26" t="s">
        <v>118</v>
      </c>
      <c r="K26">
        <v>10</v>
      </c>
      <c r="L26" t="s">
        <v>198</v>
      </c>
    </row>
    <row r="27" spans="2:12" x14ac:dyDescent="0.35">
      <c r="B27" s="57" t="s">
        <v>93</v>
      </c>
      <c r="C27" s="59"/>
      <c r="D27" s="59"/>
      <c r="E27" s="59"/>
      <c r="F27" s="59"/>
      <c r="G27" s="59"/>
      <c r="H27" s="59"/>
      <c r="J27" t="s">
        <v>117</v>
      </c>
      <c r="K27">
        <v>75</v>
      </c>
      <c r="L27" t="s">
        <v>116</v>
      </c>
    </row>
    <row r="28" spans="2:12" x14ac:dyDescent="0.35">
      <c r="J28" t="s">
        <v>199</v>
      </c>
      <c r="K28">
        <v>10</v>
      </c>
      <c r="L28" t="s">
        <v>116</v>
      </c>
    </row>
  </sheetData>
  <mergeCells count="1">
    <mergeCell ref="B4:C4"/>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5"/>
  <sheetViews>
    <sheetView workbookViewId="0">
      <selection activeCell="J5" sqref="J5"/>
    </sheetView>
  </sheetViews>
  <sheetFormatPr defaultRowHeight="14.5" x14ac:dyDescent="0.35"/>
  <cols>
    <col min="2" max="2" width="35.453125" bestFit="1" customWidth="1"/>
    <col min="4" max="4" width="15.7265625" bestFit="1" customWidth="1"/>
    <col min="10" max="10" width="10.81640625" bestFit="1" customWidth="1"/>
  </cols>
  <sheetData>
    <row r="2" spans="2:6" x14ac:dyDescent="0.35">
      <c r="B2" s="25" t="s">
        <v>140</v>
      </c>
      <c r="D2" s="25" t="s">
        <v>88</v>
      </c>
      <c r="F2" s="25" t="s">
        <v>67</v>
      </c>
    </row>
    <row r="3" spans="2:6" x14ac:dyDescent="0.35">
      <c r="B3" t="s">
        <v>134</v>
      </c>
      <c r="D3" t="s">
        <v>85</v>
      </c>
      <c r="F3" t="s">
        <v>70</v>
      </c>
    </row>
    <row r="4" spans="2:6" x14ac:dyDescent="0.35">
      <c r="B4" t="s">
        <v>136</v>
      </c>
      <c r="D4" t="s">
        <v>159</v>
      </c>
      <c r="F4" t="s">
        <v>93</v>
      </c>
    </row>
    <row r="5" spans="2:6" x14ac:dyDescent="0.35">
      <c r="B5" t="s">
        <v>137</v>
      </c>
      <c r="D5" t="s">
        <v>160</v>
      </c>
      <c r="F5" t="s">
        <v>69</v>
      </c>
    </row>
    <row r="6" spans="2:6" x14ac:dyDescent="0.35">
      <c r="B6" t="s">
        <v>139</v>
      </c>
      <c r="D6" t="s">
        <v>205</v>
      </c>
      <c r="F6" t="s">
        <v>97</v>
      </c>
    </row>
    <row r="7" spans="2:6" x14ac:dyDescent="0.35">
      <c r="B7" t="s">
        <v>130</v>
      </c>
      <c r="D7" t="s">
        <v>162</v>
      </c>
      <c r="F7" t="s">
        <v>98</v>
      </c>
    </row>
    <row r="8" spans="2:6" x14ac:dyDescent="0.35">
      <c r="B8" t="s">
        <v>129</v>
      </c>
      <c r="F8" t="s">
        <v>99</v>
      </c>
    </row>
    <row r="9" spans="2:6" x14ac:dyDescent="0.35">
      <c r="D9" t="s">
        <v>147</v>
      </c>
    </row>
    <row r="10" spans="2:6" x14ac:dyDescent="0.35">
      <c r="B10" s="25" t="s">
        <v>141</v>
      </c>
    </row>
    <row r="11" spans="2:6" x14ac:dyDescent="0.35">
      <c r="B11" t="s">
        <v>135</v>
      </c>
    </row>
    <row r="12" spans="2:6" x14ac:dyDescent="0.35">
      <c r="B12" t="s">
        <v>138</v>
      </c>
    </row>
    <row r="13" spans="2:6" x14ac:dyDescent="0.35">
      <c r="B13" t="s">
        <v>132</v>
      </c>
    </row>
    <row r="14" spans="2:6" x14ac:dyDescent="0.35">
      <c r="B14" t="s">
        <v>131</v>
      </c>
    </row>
    <row r="15" spans="2:6" x14ac:dyDescent="0.35">
      <c r="B15" t="s">
        <v>144</v>
      </c>
    </row>
    <row r="16" spans="2:6" x14ac:dyDescent="0.35">
      <c r="B16" t="s">
        <v>145</v>
      </c>
    </row>
    <row r="19" spans="2:2" x14ac:dyDescent="0.35">
      <c r="B19" s="25" t="s">
        <v>143</v>
      </c>
    </row>
    <row r="20" spans="2:2" x14ac:dyDescent="0.35">
      <c r="B20" t="str">
        <f>IF('Building GHG Emissions'!$D$9="1 Floor",'Building Types'!B3,'Building Types'!B11)</f>
        <v>Stone Masonry Cement Mortar 1F</v>
      </c>
    </row>
    <row r="21" spans="2:2" x14ac:dyDescent="0.35">
      <c r="B21" t="str">
        <f>IF('Building GHG Emissions'!$D$9="1 Floor",'Building Types'!B4,'Building Types'!B12)</f>
        <v>Stone Masonry Mud Mortar 1F</v>
      </c>
    </row>
    <row r="22" spans="2:2" x14ac:dyDescent="0.35">
      <c r="B22" t="str">
        <f>IF('Building GHG Emissions'!$D$9="1 Floor",'Building Types'!B5,'Building Types'!B13)</f>
        <v>Brick Masonry Cement Mortar 1F</v>
      </c>
    </row>
    <row r="23" spans="2:2" x14ac:dyDescent="0.35">
      <c r="B23" t="str">
        <f>IF('Building GHG Emissions'!$D$9="1 Floor",'Building Types'!B6,'Building Types'!B14)</f>
        <v>Brick Masonry Mud Mortar 1F</v>
      </c>
    </row>
    <row r="24" spans="2:2" x14ac:dyDescent="0.35">
      <c r="B24" t="str">
        <f>IF('Building GHG Emissions'!$D$9="1 Floor",'Building Types'!B7,'Building Types'!B15)</f>
        <v>CSEB 1F</v>
      </c>
    </row>
    <row r="25" spans="2:2" x14ac:dyDescent="0.35">
      <c r="B25" t="str">
        <f>IF('Building GHG Emissions'!$D$9="1 Floor",'Building Types'!B8,'Building Types'!B16)</f>
        <v>Earth Bag 1F</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8"/>
  <sheetViews>
    <sheetView workbookViewId="0">
      <selection activeCell="C13" sqref="C13"/>
    </sheetView>
  </sheetViews>
  <sheetFormatPr defaultRowHeight="14.5" x14ac:dyDescent="0.35"/>
  <cols>
    <col min="2" max="2" width="18.6328125" bestFit="1" customWidth="1"/>
    <col min="3" max="3" width="15.81640625" bestFit="1" customWidth="1"/>
    <col min="4" max="4" width="15.90625" bestFit="1" customWidth="1"/>
    <col min="5" max="5" width="64.26953125" bestFit="1" customWidth="1"/>
  </cols>
  <sheetData>
    <row r="2" spans="2:5" x14ac:dyDescent="0.35">
      <c r="B2" t="s">
        <v>3</v>
      </c>
      <c r="C2" s="6" t="s">
        <v>53</v>
      </c>
    </row>
    <row r="3" spans="2:5" x14ac:dyDescent="0.35">
      <c r="B3" t="s">
        <v>43</v>
      </c>
      <c r="C3" s="14">
        <v>42948</v>
      </c>
    </row>
    <row r="4" spans="2:5" x14ac:dyDescent="0.35">
      <c r="D4" s="6"/>
    </row>
    <row r="5" spans="2:5" x14ac:dyDescent="0.35">
      <c r="B5" s="9" t="s">
        <v>7</v>
      </c>
      <c r="C5" s="9" t="s">
        <v>8</v>
      </c>
      <c r="D5" s="9" t="s">
        <v>25</v>
      </c>
      <c r="E5" s="9" t="s">
        <v>9</v>
      </c>
    </row>
    <row r="6" spans="2:5" ht="16.5" x14ac:dyDescent="0.45">
      <c r="B6" s="8" t="s">
        <v>4</v>
      </c>
      <c r="C6" s="8" t="s">
        <v>13</v>
      </c>
      <c r="D6" s="8">
        <v>1</v>
      </c>
      <c r="E6" s="8" t="s">
        <v>10</v>
      </c>
    </row>
    <row r="7" spans="2:5" ht="16.5" x14ac:dyDescent="0.45">
      <c r="B7" s="8" t="s">
        <v>5</v>
      </c>
      <c r="C7" s="8" t="s">
        <v>14</v>
      </c>
      <c r="D7" s="8">
        <v>28</v>
      </c>
      <c r="E7" s="8" t="s">
        <v>11</v>
      </c>
    </row>
    <row r="8" spans="2:5" ht="16.5" x14ac:dyDescent="0.45">
      <c r="B8" s="8" t="s">
        <v>6</v>
      </c>
      <c r="C8" s="8" t="s">
        <v>15</v>
      </c>
      <c r="D8" s="8">
        <v>264</v>
      </c>
      <c r="E8" s="8" t="s">
        <v>12</v>
      </c>
    </row>
  </sheetData>
  <hyperlinks>
    <hyperlink ref="C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General Information</vt:lpstr>
      <vt:lpstr>Building GHG Emissions</vt:lpstr>
      <vt:lpstr>Material GHG</vt:lpstr>
      <vt:lpstr>Transport GHG </vt:lpstr>
      <vt:lpstr>Stone Masonry Cement Mortar 1F</vt:lpstr>
      <vt:lpstr>Stone Masonry Mud Mortar 1F</vt:lpstr>
      <vt:lpstr>Brick Masonry Cement Mortar 1F</vt:lpstr>
      <vt:lpstr>Brick Masonry Mud Mortar 1F</vt:lpstr>
      <vt:lpstr>CSEB 1F</vt:lpstr>
      <vt:lpstr>Earth Bag 1F</vt:lpstr>
      <vt:lpstr>Stone Masonry Cement Mortar 2F</vt:lpstr>
      <vt:lpstr>Brick Masonry Cement Mortar 2F</vt:lpstr>
      <vt:lpstr>Hollow Concrete Block 2F</vt:lpstr>
      <vt:lpstr>CSEB 2F</vt:lpstr>
      <vt:lpstr>Timber Structure 2F</vt:lpstr>
      <vt:lpstr>Bamboo Stone Hybrid 2F</vt:lpstr>
      <vt:lpstr>Building Types</vt:lpstr>
      <vt:lpstr>CO2 Conversions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Zaffar Hussain</cp:lastModifiedBy>
  <dcterms:created xsi:type="dcterms:W3CDTF">2018-03-05T09:47:59Z</dcterms:created>
  <dcterms:modified xsi:type="dcterms:W3CDTF">2018-03-28T11:29:37Z</dcterms:modified>
</cp:coreProperties>
</file>