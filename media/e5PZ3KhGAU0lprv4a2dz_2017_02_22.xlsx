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pradhan\Desktop\Training DB Template\"/>
    </mc:Choice>
  </mc:AlternateContent>
  <bookViews>
    <workbookView xWindow="0" yWindow="0" windowWidth="28800" windowHeight="12435" tabRatio="649" activeTab="2"/>
  </bookViews>
  <sheets>
    <sheet name="Guidance" sheetId="9" r:id="rId1"/>
    <sheet name="Training_Summary" sheetId="8" r:id="rId2"/>
    <sheet name="Training_DB" sheetId="4" r:id="rId3"/>
    <sheet name="PO_List" sheetId="5" r:id="rId4"/>
    <sheet name="Vocab_NameList" sheetId="2" state="hidden" r:id="rId5"/>
  </sheets>
  <definedNames>
    <definedName name="_xlnm._FilterDatabase" localSheetId="4" hidden="1">Vocab_NameList!$P$1:$Q$86</definedName>
    <definedName name="Academic_Qualifications">Vocab_NameList!$U$2:$U$8</definedName>
    <definedName name="ACTIVITY_CURRICULUM">Vocab_NameList!$P:$P</definedName>
    <definedName name="ACTIVITY_LIST">Vocab_NameList!$N$2:$N$19</definedName>
    <definedName name="ACTIVITY_START">Vocab_NameList!$P$2</definedName>
    <definedName name="CURRICULUM">Vocab_NameList!$Q$2:$Q$6</definedName>
    <definedName name="DISTRICT">Vocab_NameList!$B$2:$B$15</definedName>
    <definedName name="DISTRICT_CODE">Vocab_NameList!$C$2:$C$15</definedName>
    <definedName name="DISTRICTCOL">Vocab_NameList!$F:$F</definedName>
    <definedName name="DISTRICTSTART">Vocab_NameList!$F$2</definedName>
    <definedName name="PO">Table2[Partner Organisation]</definedName>
    <definedName name="PO_ACRONYM">Table2[Acronym]</definedName>
    <definedName name="sex">Vocab_NameList!$S$2:$S$3</definedName>
    <definedName name="Slicer_Age_Class">#N/A</definedName>
    <definedName name="Slicer_Curriculum">#N/A</definedName>
    <definedName name="Slicer_Partner_Organisation">#N/A</definedName>
    <definedName name="Slicer_Training_Type">#N/A</definedName>
    <definedName name="VDC">Vocab_NameList!$G$2:$G$619</definedName>
    <definedName name="VDC_CODE">Vocab_NameList!$H$2:$H$619</definedName>
  </definedNames>
  <calcPr calcId="152511"/>
  <pivotCaches>
    <pivotCache cacheId="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 i="4" l="1"/>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A5" i="4" l="1"/>
  <c r="A2" i="4"/>
  <c r="A3" i="4"/>
  <c r="A4"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V14" i="4" l="1" a="1"/>
  <c r="V14" i="4" s="1"/>
  <c r="V15" i="4" a="1"/>
  <c r="V15" i="4" s="1"/>
  <c r="V16" i="4" a="1"/>
  <c r="V16" i="4" s="1"/>
  <c r="V17" i="4" a="1"/>
  <c r="V17" i="4" s="1"/>
  <c r="V18" i="4" a="1"/>
  <c r="V18" i="4" s="1"/>
  <c r="V19" i="4" a="1"/>
  <c r="V19" i="4" s="1"/>
  <c r="V20" i="4" a="1"/>
  <c r="V20" i="4" s="1"/>
  <c r="V21" i="4" a="1"/>
  <c r="V21" i="4" s="1"/>
  <c r="V22" i="4" a="1"/>
  <c r="V22" i="4" s="1"/>
  <c r="V23" i="4" a="1"/>
  <c r="V23" i="4" s="1"/>
  <c r="V24" i="4" a="1"/>
  <c r="V24" i="4" s="1"/>
  <c r="V25" i="4" a="1"/>
  <c r="V25" i="4" s="1"/>
  <c r="V26" i="4" a="1"/>
  <c r="V26" i="4" s="1"/>
  <c r="V27" i="4" a="1"/>
  <c r="V27" i="4" s="1"/>
  <c r="V28" i="4" a="1"/>
  <c r="V28" i="4" s="1"/>
  <c r="V29" i="4" a="1"/>
  <c r="V29" i="4" s="1"/>
  <c r="V30" i="4" a="1"/>
  <c r="V30" i="4" s="1"/>
  <c r="V31" i="4" a="1"/>
  <c r="V31" i="4" s="1"/>
  <c r="V32" i="4" a="1"/>
  <c r="V32" i="4" s="1"/>
  <c r="V33" i="4" a="1"/>
  <c r="V33" i="4" s="1"/>
  <c r="V34" i="4" a="1"/>
  <c r="V34" i="4" s="1"/>
  <c r="V35" i="4" a="1"/>
  <c r="V35" i="4" s="1"/>
  <c r="V36" i="4" a="1"/>
  <c r="V36" i="4" s="1"/>
  <c r="V37" i="4" a="1"/>
  <c r="V37" i="4" s="1"/>
  <c r="V38" i="4" a="1"/>
  <c r="V38" i="4" s="1"/>
  <c r="V39" i="4" a="1"/>
  <c r="V39" i="4" s="1"/>
  <c r="V40" i="4" a="1"/>
  <c r="V40" i="4" s="1"/>
  <c r="V11" i="4" a="1"/>
  <c r="V11" i="4" s="1"/>
  <c r="V4" i="4" a="1"/>
  <c r="V4" i="4" s="1"/>
  <c r="V3" i="4" l="1" a="1"/>
  <c r="V3" i="4" s="1"/>
  <c r="V5" i="4" l="1" a="1"/>
  <c r="V5" i="4" s="1"/>
  <c r="V6" i="4" a="1"/>
  <c r="V6" i="4" s="1"/>
  <c r="V7" i="4" a="1"/>
  <c r="V7" i="4" s="1"/>
  <c r="V8" i="4" a="1"/>
  <c r="V8" i="4" s="1"/>
  <c r="V9" i="4" a="1"/>
  <c r="V9" i="4" s="1"/>
  <c r="V10" i="4" a="1"/>
  <c r="V10" i="4" s="1"/>
  <c r="V12" i="4" a="1"/>
  <c r="V12" i="4" s="1"/>
  <c r="V13" i="4" a="1"/>
  <c r="V13" i="4" s="1"/>
  <c r="V2" i="4" l="1" a="1"/>
  <c r="V2" i="4" s="1"/>
</calcChain>
</file>

<file path=xl/sharedStrings.xml><?xml version="1.0" encoding="utf-8"?>
<sst xmlns="http://schemas.openxmlformats.org/spreadsheetml/2006/main" count="3428" uniqueCount="1982">
  <si>
    <t>Bagmati</t>
  </si>
  <si>
    <t>Kathmandu</t>
  </si>
  <si>
    <t>524 2 05 27</t>
  </si>
  <si>
    <t>Gandaki</t>
  </si>
  <si>
    <t>Gorkha</t>
  </si>
  <si>
    <t>524 3 07 36</t>
  </si>
  <si>
    <t>524 3 07 36 5 018</t>
  </si>
  <si>
    <t>AaruArbang</t>
  </si>
  <si>
    <t>524 3 07 36 5 060</t>
  </si>
  <si>
    <t>AaruChanuate</t>
  </si>
  <si>
    <t>524 3 07 36 5 052</t>
  </si>
  <si>
    <t>Aarupokhari</t>
  </si>
  <si>
    <t>524 3 07 36 5 053</t>
  </si>
  <si>
    <t>Narayani</t>
  </si>
  <si>
    <t>524 2 06 31</t>
  </si>
  <si>
    <t>Agara</t>
  </si>
  <si>
    <t>524 2 06 31 5 032</t>
  </si>
  <si>
    <t>Dhading</t>
  </si>
  <si>
    <t>524 2 05 30</t>
  </si>
  <si>
    <t>Aginchok</t>
  </si>
  <si>
    <t>524 2 05 30 5 006</t>
  </si>
  <si>
    <t>Janakpur</t>
  </si>
  <si>
    <t>Dolakha</t>
  </si>
  <si>
    <t>524 2 04 22</t>
  </si>
  <si>
    <t>Alampu</t>
  </si>
  <si>
    <t>524 2 04 22 5 029</t>
  </si>
  <si>
    <t>Sindhuli</t>
  </si>
  <si>
    <t>524 2 04 20</t>
  </si>
  <si>
    <t>Amale</t>
  </si>
  <si>
    <t>524 2 04 20 5 045</t>
  </si>
  <si>
    <t>Ambhanjyang</t>
  </si>
  <si>
    <t>524 2 05 24</t>
  </si>
  <si>
    <t>524 2 05 24 5 067</t>
  </si>
  <si>
    <t>Sagarmatha</t>
  </si>
  <si>
    <t>Okhaldhunga</t>
  </si>
  <si>
    <t>Arunthakur</t>
  </si>
  <si>
    <t>524 2 04 20 5 007</t>
  </si>
  <si>
    <t>Lalitpur</t>
  </si>
  <si>
    <t>524 2 05 25</t>
  </si>
  <si>
    <t>Asrang</t>
  </si>
  <si>
    <t>524 3 07 36 5 003</t>
  </si>
  <si>
    <t>Sindhupalchok</t>
  </si>
  <si>
    <t>524 2 05 23</t>
  </si>
  <si>
    <t>Atarpur</t>
  </si>
  <si>
    <t>524 2 05 23 5 022</t>
  </si>
  <si>
    <t>Babare</t>
  </si>
  <si>
    <t>524 2 04 22 5 034</t>
  </si>
  <si>
    <t>Badegau</t>
  </si>
  <si>
    <t>524 2 05 23 5 044</t>
  </si>
  <si>
    <t>Bhaktapur</t>
  </si>
  <si>
    <t>524 2 05 26</t>
  </si>
  <si>
    <t>Nuwakot</t>
  </si>
  <si>
    <t>524 2 05 28</t>
  </si>
  <si>
    <t>BagesworiChokade</t>
  </si>
  <si>
    <t>524 2 05 28 5 036</t>
  </si>
  <si>
    <t>Baguwa</t>
  </si>
  <si>
    <t>524 3 07 36 5 054</t>
  </si>
  <si>
    <t>Bahuntilpung</t>
  </si>
  <si>
    <t>524 2 04 20 5 012</t>
  </si>
  <si>
    <t>Baireni</t>
  </si>
  <si>
    <t>524 2 05 30 5 041</t>
  </si>
  <si>
    <t>Bakrang</t>
  </si>
  <si>
    <t>524 3 07 36 5 010</t>
  </si>
  <si>
    <t>Baksa</t>
  </si>
  <si>
    <t>Balajor</t>
  </si>
  <si>
    <t>524 2 04 20 5 028</t>
  </si>
  <si>
    <t>Balakhu</t>
  </si>
  <si>
    <t>Baldthali</t>
  </si>
  <si>
    <t>524 2 05 24 5 051</t>
  </si>
  <si>
    <t>Balkumari</t>
  </si>
  <si>
    <t>524 2 05 28 5 021</t>
  </si>
  <si>
    <t>Balting</t>
  </si>
  <si>
    <t>BaluwapatiDeupur</t>
  </si>
  <si>
    <t>Ramechhap</t>
  </si>
  <si>
    <t>524 2 04 21</t>
  </si>
  <si>
    <t>BamtiBhandar</t>
  </si>
  <si>
    <t>524 2 04 21 5 018</t>
  </si>
  <si>
    <t>BanakhuChor</t>
  </si>
  <si>
    <t>524 2 05 24 5 026</t>
  </si>
  <si>
    <t>Banepa N.P.</t>
  </si>
  <si>
    <t>524 2 05 23 5 066</t>
  </si>
  <si>
    <t>Banskharka</t>
  </si>
  <si>
    <t>524 2 05 23 5 054</t>
  </si>
  <si>
    <t>Baramchi</t>
  </si>
  <si>
    <t>524 2 05 23 5 053</t>
  </si>
  <si>
    <t>524 2 05 23 5 002</t>
  </si>
  <si>
    <t>Barsunchet</t>
  </si>
  <si>
    <t>524 2 05 28 5 050</t>
  </si>
  <si>
    <t>Baruneshwor</t>
  </si>
  <si>
    <t>Baruwa</t>
  </si>
  <si>
    <t>524 2 05 23 5 070</t>
  </si>
  <si>
    <t>524 2 06 31 5 016</t>
  </si>
  <si>
    <t>Baseri</t>
  </si>
  <si>
    <t>524 2 05 30 5 009</t>
  </si>
  <si>
    <t>Baseshwor</t>
  </si>
  <si>
    <t>524 2 04 20 5 023</t>
  </si>
  <si>
    <t>Bastipur</t>
  </si>
  <si>
    <t>524 2 04 20 5 046</t>
  </si>
  <si>
    <t>Batase</t>
  </si>
  <si>
    <t>524 2 05 23 5 033</t>
  </si>
  <si>
    <t>BekhsimleDhartigaun</t>
  </si>
  <si>
    <t>524 2 05 24 5 086</t>
  </si>
  <si>
    <t>Belghari</t>
  </si>
  <si>
    <t>524 2 04 20 5 029</t>
  </si>
  <si>
    <t>Belkot</t>
  </si>
  <si>
    <t>Benighat</t>
  </si>
  <si>
    <t>524 2 05 30 5 037</t>
  </si>
  <si>
    <t>Betali</t>
  </si>
  <si>
    <t>524 2 04 21 5 024</t>
  </si>
  <si>
    <t>524 2 05 28 5 022</t>
  </si>
  <si>
    <t>Bethan</t>
  </si>
  <si>
    <t>524 2 04 21 5 032</t>
  </si>
  <si>
    <t>Betini</t>
  </si>
  <si>
    <t>524 2 06 31 5 013</t>
  </si>
  <si>
    <t>Bhadaure</t>
  </si>
  <si>
    <t>524 2 04 21 5 044</t>
  </si>
  <si>
    <t>Bhadrakali</t>
  </si>
  <si>
    <t>524 2 04 20 5 034</t>
  </si>
  <si>
    <t>Bhadratar</t>
  </si>
  <si>
    <t>524 2 05 28 5 027</t>
  </si>
  <si>
    <t>Bhaise</t>
  </si>
  <si>
    <t>524 2 06 31 5 027</t>
  </si>
  <si>
    <t>Bhaktapur N.P.</t>
  </si>
  <si>
    <t>524 2 05 26 3 001</t>
  </si>
  <si>
    <t>Bhalche</t>
  </si>
  <si>
    <t>524 2 05 28 5 056</t>
  </si>
  <si>
    <t>Bhardev</t>
  </si>
  <si>
    <t>524 2 05 25 5 008</t>
  </si>
  <si>
    <t>BhartaPundyadevi</t>
  </si>
  <si>
    <t>524 2 06 31 5 024</t>
  </si>
  <si>
    <t>Bhattedanda</t>
  </si>
  <si>
    <t>524 2 05 25 5 001</t>
  </si>
  <si>
    <t>Bhedapu</t>
  </si>
  <si>
    <t>Bhimeshwor</t>
  </si>
  <si>
    <t>524 2 04 20 5 036</t>
  </si>
  <si>
    <t>Bhimeswor N.P.</t>
  </si>
  <si>
    <t>Bhimfedi</t>
  </si>
  <si>
    <t>524 2 06 31 5 038</t>
  </si>
  <si>
    <t>Bhimkhori</t>
  </si>
  <si>
    <t>524 2 05 24 5 025</t>
  </si>
  <si>
    <t>Bhimsthan</t>
  </si>
  <si>
    <t>524 2 04 20 5 030</t>
  </si>
  <si>
    <t>Bhimtar</t>
  </si>
  <si>
    <t>524 2 05 23 5 045</t>
  </si>
  <si>
    <t>Bhirkot</t>
  </si>
  <si>
    <t>524 2 04 22 5 001</t>
  </si>
  <si>
    <t>524 3 07 36 5 025</t>
  </si>
  <si>
    <t>Bhirpani</t>
  </si>
  <si>
    <t>524 2 04 21 5 043</t>
  </si>
  <si>
    <t>Rasuwa</t>
  </si>
  <si>
    <t>524 2 05 29</t>
  </si>
  <si>
    <t>Bhorle</t>
  </si>
  <si>
    <t>524 2 05 29 5 005</t>
  </si>
  <si>
    <t>Bhotasipa</t>
  </si>
  <si>
    <t>524 2 05 23 5 043</t>
  </si>
  <si>
    <t>Bhotechaur</t>
  </si>
  <si>
    <t>524 2 05 23 5 063</t>
  </si>
  <si>
    <t>BhoteNamlang</t>
  </si>
  <si>
    <t>524 2 05 23 5 077</t>
  </si>
  <si>
    <t>Bhujee</t>
  </si>
  <si>
    <t>524 2 04 21 5 011</t>
  </si>
  <si>
    <t>Bhumesthan</t>
  </si>
  <si>
    <t>Bhumlichok</t>
  </si>
  <si>
    <t>524 3 07 36 5 017</t>
  </si>
  <si>
    <t>Bhumlutar</t>
  </si>
  <si>
    <t>524 2 05 24 5 075</t>
  </si>
  <si>
    <t>Bhusaphedi</t>
  </si>
  <si>
    <t>524 2 04 22 5 047</t>
  </si>
  <si>
    <t>Bhussinga</t>
  </si>
  <si>
    <t>BhuwaneshoriGwaltar</t>
  </si>
  <si>
    <t>524 2 04 20 5 024</t>
  </si>
  <si>
    <t>Bidur N.P.</t>
  </si>
  <si>
    <t>Bigu</t>
  </si>
  <si>
    <t>524 2 04 22 5 039</t>
  </si>
  <si>
    <t>Bigutar</t>
  </si>
  <si>
    <t>Bihi</t>
  </si>
  <si>
    <t>524 3 07 36 5 037</t>
  </si>
  <si>
    <t>Bijulikot</t>
  </si>
  <si>
    <t>524 2 04 21 5 012</t>
  </si>
  <si>
    <t>Bilandu</t>
  </si>
  <si>
    <t>Birtadeurali</t>
  </si>
  <si>
    <t>524 2 05 24 5 003</t>
  </si>
  <si>
    <t>BitijorBagaiya</t>
  </si>
  <si>
    <t>524 2 04 20 5 022</t>
  </si>
  <si>
    <t>Bocha</t>
  </si>
  <si>
    <t>524 2 04 22 5 028</t>
  </si>
  <si>
    <t>BoldeFediche</t>
  </si>
  <si>
    <t>524 2 05 24 5 011</t>
  </si>
  <si>
    <t>Borlang</t>
  </si>
  <si>
    <t>524 3 07 36 5 004</t>
  </si>
  <si>
    <t>Bridhim</t>
  </si>
  <si>
    <t>524 2 05 29 5 016</t>
  </si>
  <si>
    <t>Budhakhani</t>
  </si>
  <si>
    <t>524 2 05 24 5 027</t>
  </si>
  <si>
    <t>Budhasing</t>
  </si>
  <si>
    <t>524 2 05 28 5 044</t>
  </si>
  <si>
    <t>Budhathum</t>
  </si>
  <si>
    <t>524 2 05 30 5 010</t>
  </si>
  <si>
    <t>Budhichaur</t>
  </si>
  <si>
    <t>524 2 06 31 5 015</t>
  </si>
  <si>
    <t>Bukhel</t>
  </si>
  <si>
    <t>Bulung</t>
  </si>
  <si>
    <t>524 2 04 22 5 051</t>
  </si>
  <si>
    <t>Bungtang</t>
  </si>
  <si>
    <t>524 2 05 28 5 051</t>
  </si>
  <si>
    <t>Bunkot</t>
  </si>
  <si>
    <t>524 3 07 36 5 005</t>
  </si>
  <si>
    <t>Chainpur</t>
  </si>
  <si>
    <t>524 2 05 30 5 030</t>
  </si>
  <si>
    <t>ChalalGaneshsthan</t>
  </si>
  <si>
    <t>524 2 05 24 5 047</t>
  </si>
  <si>
    <t>Chanakhu</t>
  </si>
  <si>
    <t>524 2 04 21 5 046</t>
  </si>
  <si>
    <t>Chandanpur</t>
  </si>
  <si>
    <t>524 2 05 25 5 015</t>
  </si>
  <si>
    <t>ChandeniMandan</t>
  </si>
  <si>
    <t>524 2 05 24 5 068</t>
  </si>
  <si>
    <t>Chankhu</t>
  </si>
  <si>
    <t>524 2 04 22 5 008</t>
  </si>
  <si>
    <t>524 2 05 25 5 022</t>
  </si>
  <si>
    <t>Charghare</t>
  </si>
  <si>
    <t>524 2 05 28 5 045</t>
  </si>
  <si>
    <t>Chaturale</t>
  </si>
  <si>
    <t>524 2 05 28 5 010</t>
  </si>
  <si>
    <t>Chaughada</t>
  </si>
  <si>
    <t>524 2 05 28 5 028</t>
  </si>
  <si>
    <t>Chauthe</t>
  </si>
  <si>
    <t>524 2 05 28 5 001</t>
  </si>
  <si>
    <t>Chhaikampar</t>
  </si>
  <si>
    <t>524 3 07 36 5 038</t>
  </si>
  <si>
    <t>Chhap</t>
  </si>
  <si>
    <t>524 2 05 28 5 015</t>
  </si>
  <si>
    <t>ChhatreDyaurali</t>
  </si>
  <si>
    <t>524 2 05 30 5 047</t>
  </si>
  <si>
    <t>Chhetrapa</t>
  </si>
  <si>
    <t>524 2 04 22 5 031</t>
  </si>
  <si>
    <t>Chhoprak</t>
  </si>
  <si>
    <t>524 3 07 36 5 026</t>
  </si>
  <si>
    <t>Chilankha</t>
  </si>
  <si>
    <t>524 2 04 22 5 040</t>
  </si>
  <si>
    <t>Chilime</t>
  </si>
  <si>
    <t>524 2 05 29 5 012</t>
  </si>
  <si>
    <t>524 2 04 21 5 047</t>
  </si>
  <si>
    <t>Chitlang</t>
  </si>
  <si>
    <t>524 2 06 31 5 036</t>
  </si>
  <si>
    <t>Choubas</t>
  </si>
  <si>
    <t>524 2 05 24 5 076</t>
  </si>
  <si>
    <t>Choughare</t>
  </si>
  <si>
    <t>Choukati</t>
  </si>
  <si>
    <t>524 2 05 23 5 016</t>
  </si>
  <si>
    <t>524 2 05 23 5 035</t>
  </si>
  <si>
    <t>Chuchure</t>
  </si>
  <si>
    <t>524 2 04 21 5 019</t>
  </si>
  <si>
    <t>Chumchet</t>
  </si>
  <si>
    <t>524 3 07 36 5 039</t>
  </si>
  <si>
    <t>524 2 06 31 5 005</t>
  </si>
  <si>
    <t>Chyama</t>
  </si>
  <si>
    <t>524 2 04 22 5 014</t>
  </si>
  <si>
    <t>Chyamrangbesi</t>
  </si>
  <si>
    <t>524 2 05 24 5 052</t>
  </si>
  <si>
    <t>Chyanam</t>
  </si>
  <si>
    <t>ChyasingKharka</t>
  </si>
  <si>
    <t>524 2 05 24 5 053</t>
  </si>
  <si>
    <t>524 3 07 36 5 027</t>
  </si>
  <si>
    <t>Dadhuwa</t>
  </si>
  <si>
    <t>524 2 04 21 5 050</t>
  </si>
  <si>
    <t>Dadiguranshe</t>
  </si>
  <si>
    <t>524 2 04 20 5 037</t>
  </si>
  <si>
    <t>Dalchoki</t>
  </si>
  <si>
    <t>524 2 06 31 5 030</t>
  </si>
  <si>
    <t>Dandagaun</t>
  </si>
  <si>
    <t>524 2 05 24 5 046</t>
  </si>
  <si>
    <t>Dandagoun</t>
  </si>
  <si>
    <t>524 2 05 29 5 009</t>
  </si>
  <si>
    <t>Dandakharka</t>
  </si>
  <si>
    <t>524 2 04 22 5 025</t>
  </si>
  <si>
    <t>524 2 06 31 5 028</t>
  </si>
  <si>
    <t>Dangsing</t>
  </si>
  <si>
    <t>524 2 05 28 5 046</t>
  </si>
  <si>
    <t>524 2 05 24 5 035</t>
  </si>
  <si>
    <t>524 2 05 24 5 037</t>
  </si>
  <si>
    <t>Darbhung</t>
  </si>
  <si>
    <t>524 3 07 36 5 006</t>
  </si>
  <si>
    <t>Darkha</t>
  </si>
  <si>
    <t>524 2 05 30 5 001</t>
  </si>
  <si>
    <t>Deurali</t>
  </si>
  <si>
    <t>524 3 07 36 5 033</t>
  </si>
  <si>
    <t>524 2 05 28 5 052</t>
  </si>
  <si>
    <t>524 2 04 21 5 006</t>
  </si>
  <si>
    <t>524 2 05 24 5 077</t>
  </si>
  <si>
    <t>Devichour</t>
  </si>
  <si>
    <t>524 2 05 25 5 041</t>
  </si>
  <si>
    <t>Devitar</t>
  </si>
  <si>
    <t>524 2 05 24 5 069</t>
  </si>
  <si>
    <t>Dhawa</t>
  </si>
  <si>
    <t>524 3 07 36 5 055</t>
  </si>
  <si>
    <t>Dhimal</t>
  </si>
  <si>
    <t>524 2 06 31 5 010</t>
  </si>
  <si>
    <t>Dhola</t>
  </si>
  <si>
    <t>524 2 05 30 5 021</t>
  </si>
  <si>
    <t>Dhulikhel N.P.</t>
  </si>
  <si>
    <t>524 2 05 23 5 008</t>
  </si>
  <si>
    <t>Dhunche</t>
  </si>
  <si>
    <t>524 2 05 29 5 002</t>
  </si>
  <si>
    <t>Dhunkharka</t>
  </si>
  <si>
    <t>524 2 05 24 5 054</t>
  </si>
  <si>
    <t>Dhusel</t>
  </si>
  <si>
    <t>524 2 05 25 5 003</t>
  </si>
  <si>
    <t>DhuseniSiwalaya</t>
  </si>
  <si>
    <t>524 2 05 24 5 004</t>
  </si>
  <si>
    <t>Dhussa</t>
  </si>
  <si>
    <t>524 2 05 30 5 038</t>
  </si>
  <si>
    <t>Dhuwakot</t>
  </si>
  <si>
    <t>524 2 05 30 5 007</t>
  </si>
  <si>
    <t>524 3 07 36 5 034</t>
  </si>
  <si>
    <t>Dimipokhari</t>
  </si>
  <si>
    <t>524 2 04 21 5 033</t>
  </si>
  <si>
    <t>Diyale</t>
  </si>
  <si>
    <t>Dolalghat</t>
  </si>
  <si>
    <t>524 2 05 24 5 078</t>
  </si>
  <si>
    <t>Doramba</t>
  </si>
  <si>
    <t>Dubachour</t>
  </si>
  <si>
    <t>Dudbhanjyang</t>
  </si>
  <si>
    <t>524 2 04 20 5 008</t>
  </si>
  <si>
    <t>Dudhpokhari</t>
  </si>
  <si>
    <t>524 2 04 22 5 044</t>
  </si>
  <si>
    <t>Duipipal</t>
  </si>
  <si>
    <t>524 2 05 28 5 002</t>
  </si>
  <si>
    <t>524 2 05 25 5 020</t>
  </si>
  <si>
    <t>Duragau</t>
  </si>
  <si>
    <t>524 2 04 21 5 013</t>
  </si>
  <si>
    <t>Fakhel</t>
  </si>
  <si>
    <t>524 2 06 31 5 040</t>
  </si>
  <si>
    <t>Falemetar</t>
  </si>
  <si>
    <t>524 2 05 24 5 048</t>
  </si>
  <si>
    <t>Faparbari</t>
  </si>
  <si>
    <t>Farpu</t>
  </si>
  <si>
    <t>524 2 04 21 5 028</t>
  </si>
  <si>
    <t>Fasku</t>
  </si>
  <si>
    <t>524 2 04 22 5 048</t>
  </si>
  <si>
    <t>524 2 05 23 5 078</t>
  </si>
  <si>
    <t>Fediguth</t>
  </si>
  <si>
    <t>Fikuri</t>
  </si>
  <si>
    <t>524 2 05 28 5 059</t>
  </si>
  <si>
    <t>524 3 07 36 5 002</t>
  </si>
  <si>
    <t>Foksingtar</t>
  </si>
  <si>
    <t>524 2 05 24 5 002</t>
  </si>
  <si>
    <t>Fujel</t>
  </si>
  <si>
    <t>524 3 07 36 5 008</t>
  </si>
  <si>
    <t>Fulbari</t>
  </si>
  <si>
    <t>Fulpingdandagau</t>
  </si>
  <si>
    <t>524 2 05 23 5 030</t>
  </si>
  <si>
    <t>Fulpingkatti</t>
  </si>
  <si>
    <t>524 2 05 23 5 005</t>
  </si>
  <si>
    <t>Fulpingkot</t>
  </si>
  <si>
    <t>524 2 05 23 5 049</t>
  </si>
  <si>
    <t>524 3 07 36 5 029</t>
  </si>
  <si>
    <t>GairiBisounaDeupur</t>
  </si>
  <si>
    <t>524 2 05 24 5 060</t>
  </si>
  <si>
    <t>Gairimudi</t>
  </si>
  <si>
    <t>524 2 04 22 5 002</t>
  </si>
  <si>
    <t>Gajuri</t>
  </si>
  <si>
    <t>524 2 05 30 5 043</t>
  </si>
  <si>
    <t>Gakhu</t>
  </si>
  <si>
    <t>524 3 07 36 5 028</t>
  </si>
  <si>
    <t>Gamnangtar</t>
  </si>
  <si>
    <t>Ganeshthan</t>
  </si>
  <si>
    <t>524 2 05 28 5 037</t>
  </si>
  <si>
    <t>Gati</t>
  </si>
  <si>
    <t>Gatlang</t>
  </si>
  <si>
    <t>524 2 05 29 5 011</t>
  </si>
  <si>
    <t>Gaunkharka</t>
  </si>
  <si>
    <t>524 2 05 28 5 023</t>
  </si>
  <si>
    <t>GauriSankar</t>
  </si>
  <si>
    <t>524 2 04 22 5 021</t>
  </si>
  <si>
    <t>Gelu</t>
  </si>
  <si>
    <t>Gerkhu</t>
  </si>
  <si>
    <t>524 2 05 28 5 038</t>
  </si>
  <si>
    <t>Ghairung</t>
  </si>
  <si>
    <t>524 3 07 36 5 013</t>
  </si>
  <si>
    <t>GhangSukathokar</t>
  </si>
  <si>
    <t>524 2 04 22 5 026</t>
  </si>
  <si>
    <t>Ghartichhap</t>
  </si>
  <si>
    <t>524 2 05 24 5 028</t>
  </si>
  <si>
    <t>Ghorthali</t>
  </si>
  <si>
    <t>Ghuskun</t>
  </si>
  <si>
    <t>524 2 05 23 5 015</t>
  </si>
  <si>
    <t>Ghyachok</t>
  </si>
  <si>
    <t>524 3 07 36 5 066</t>
  </si>
  <si>
    <t>Ghyalchok</t>
  </si>
  <si>
    <t>524 3 07 36 5 012</t>
  </si>
  <si>
    <t>Ghyangphedi</t>
  </si>
  <si>
    <t>524 2 05 28 5 030</t>
  </si>
  <si>
    <t>Gimdi</t>
  </si>
  <si>
    <t>Gloche</t>
  </si>
  <si>
    <t>524 2 05 23 5 031</t>
  </si>
  <si>
    <t>524 2 05 25 5 025</t>
  </si>
  <si>
    <t>Gogane</t>
  </si>
  <si>
    <t>524 2 06 31 5 031</t>
  </si>
  <si>
    <t>Goganpani</t>
  </si>
  <si>
    <t>524 2 05 30 5 029</t>
  </si>
  <si>
    <t>Gokule</t>
  </si>
  <si>
    <t>524 2 05 24 5 029</t>
  </si>
  <si>
    <t>Goljung</t>
  </si>
  <si>
    <t>524 2 05 29 5 018</t>
  </si>
  <si>
    <t>Gorsyang</t>
  </si>
  <si>
    <t>524 2 05 28 5 047</t>
  </si>
  <si>
    <t>Goswara</t>
  </si>
  <si>
    <t>524 2 04 21 5 053</t>
  </si>
  <si>
    <t>Gothgau</t>
  </si>
  <si>
    <t>524 2 04 21 5 014</t>
  </si>
  <si>
    <t>Gothpani</t>
  </si>
  <si>
    <t>524 2 05 24 5 005</t>
  </si>
  <si>
    <t>Gotikhel</t>
  </si>
  <si>
    <t>524 2 05 25 5 017</t>
  </si>
  <si>
    <t>Gumba</t>
  </si>
  <si>
    <t>524 2 05 23 5 057</t>
  </si>
  <si>
    <t>Gumda</t>
  </si>
  <si>
    <t>524 3 07 36 5 044</t>
  </si>
  <si>
    <t>Gumdel</t>
  </si>
  <si>
    <t>524 2 04 21 5 020</t>
  </si>
  <si>
    <t>Gumdi</t>
  </si>
  <si>
    <t>524 2 05 30 5 011</t>
  </si>
  <si>
    <t>Gunsakot</t>
  </si>
  <si>
    <t>GunsiBhadaure</t>
  </si>
  <si>
    <t>Guptesor</t>
  </si>
  <si>
    <t>524 2 04 21 5 015</t>
  </si>
  <si>
    <t>Hagam</t>
  </si>
  <si>
    <t>524 2 05 23 5 051</t>
  </si>
  <si>
    <t>Haibung</t>
  </si>
  <si>
    <t>524 2 05 23 5 079</t>
  </si>
  <si>
    <t>Haku</t>
  </si>
  <si>
    <t>524 2 05 29 5 001</t>
  </si>
  <si>
    <t>Handikhola</t>
  </si>
  <si>
    <t>524 2 06 31 5 017</t>
  </si>
  <si>
    <t>524 3 07 36 5 019</t>
  </si>
  <si>
    <t>HariharpurGadhi</t>
  </si>
  <si>
    <t>524 2 04 20 5 039</t>
  </si>
  <si>
    <t>Harkapur</t>
  </si>
  <si>
    <t>Harmhi</t>
  </si>
  <si>
    <t>524 3 07 36 5 020</t>
  </si>
  <si>
    <t>Harsahi</t>
  </si>
  <si>
    <t>524 2 04 20 5 013</t>
  </si>
  <si>
    <t>524 2 06 31 5 006</t>
  </si>
  <si>
    <t>Hatpate</t>
  </si>
  <si>
    <t>Hawa</t>
  </si>
  <si>
    <t>524 2 04 22 5 015</t>
  </si>
  <si>
    <t>Helumbu</t>
  </si>
  <si>
    <t>524 2 05 23 5 065</t>
  </si>
  <si>
    <t>Hiledevi</t>
  </si>
  <si>
    <t>Himganga</t>
  </si>
  <si>
    <t>524 2 04 21 5 007</t>
  </si>
  <si>
    <t>524 2 05 24 5 079</t>
  </si>
  <si>
    <t>524 2 06 31 5 009</t>
  </si>
  <si>
    <t>Ichok</t>
  </si>
  <si>
    <t>524 2 05 23 5 058</t>
  </si>
  <si>
    <t>Ikudol</t>
  </si>
  <si>
    <t>524 2 05 25 5 011</t>
  </si>
  <si>
    <t>524 2 05 25 5 032</t>
  </si>
  <si>
    <t>IpaPanchakanya</t>
  </si>
  <si>
    <t>524 2 06 31 5 043</t>
  </si>
  <si>
    <t>Irkhu</t>
  </si>
  <si>
    <t>524 2 05 23 5 038</t>
  </si>
  <si>
    <t>JaisithokMandan</t>
  </si>
  <si>
    <t>Jalbire</t>
  </si>
  <si>
    <t>524 2 05 23 5 050</t>
  </si>
  <si>
    <t>Jalkanya</t>
  </si>
  <si>
    <t>524 2 04 20 5 035</t>
  </si>
  <si>
    <t>Jantarkhani</t>
  </si>
  <si>
    <t>Japhe</t>
  </si>
  <si>
    <t>524 2 04 22 5 016</t>
  </si>
  <si>
    <t>Jarayotar</t>
  </si>
  <si>
    <t>524 2 04 20 5 032</t>
  </si>
  <si>
    <t>Jaubari</t>
  </si>
  <si>
    <t>Jeewanpur</t>
  </si>
  <si>
    <t>524 2 05 30 5 048</t>
  </si>
  <si>
    <t>Jethal</t>
  </si>
  <si>
    <t>524 2 05 23 5 011</t>
  </si>
  <si>
    <t>JhangajholiRalmata</t>
  </si>
  <si>
    <t>524 2 04 20 5 044</t>
  </si>
  <si>
    <t>Jharlang</t>
  </si>
  <si>
    <t>524 2 05 30 5 016</t>
  </si>
  <si>
    <t>Jhule</t>
  </si>
  <si>
    <t>524 2 04 22 5 017</t>
  </si>
  <si>
    <t>Jhyaku</t>
  </si>
  <si>
    <t>524 2 04 22 5 009</t>
  </si>
  <si>
    <t>Jibjibe(Nilkantha)</t>
  </si>
  <si>
    <t>524 2 05 29 5 006</t>
  </si>
  <si>
    <t>Jiling</t>
  </si>
  <si>
    <t>524 2 05 28 5 011</t>
  </si>
  <si>
    <t>Jinakhu</t>
  </si>
  <si>
    <t>524 2 04 20 5 014</t>
  </si>
  <si>
    <t>524 2 04 22 5 003</t>
  </si>
  <si>
    <t>Jogimara</t>
  </si>
  <si>
    <t>524 2 05 30 5 039</t>
  </si>
  <si>
    <t>Jugu</t>
  </si>
  <si>
    <t>524 2 04 22 5 010</t>
  </si>
  <si>
    <t>JyamdiMandan</t>
  </si>
  <si>
    <t>524 2 05 24 5 071</t>
  </si>
  <si>
    <t>524 2 05 23 5 075</t>
  </si>
  <si>
    <t>Jyamrung</t>
  </si>
  <si>
    <t>524 2 05 30 5 023</t>
  </si>
  <si>
    <t>Kabhre</t>
  </si>
  <si>
    <t>524 2 04 22 5 011</t>
  </si>
  <si>
    <t>Kabilas</t>
  </si>
  <si>
    <t>524 2 05 28 5 029</t>
  </si>
  <si>
    <t>Kadambas</t>
  </si>
  <si>
    <t>524 2 05 23 5 040</t>
  </si>
  <si>
    <t>Kakani</t>
  </si>
  <si>
    <t>524 2 05 28 5 003</t>
  </si>
  <si>
    <t>KakurThakur</t>
  </si>
  <si>
    <t>524 2 04 20 5 009</t>
  </si>
  <si>
    <t>KalatiBhumidanda</t>
  </si>
  <si>
    <t>524 2 05 24 5 063</t>
  </si>
  <si>
    <t>Kaleswor</t>
  </si>
  <si>
    <t>Kalika</t>
  </si>
  <si>
    <t>524 2 05 23 5 019</t>
  </si>
  <si>
    <t>Kalikadevi</t>
  </si>
  <si>
    <t>Kalikahalde</t>
  </si>
  <si>
    <t>524 2 05 28 5 039</t>
  </si>
  <si>
    <t>Kalikatar</t>
  </si>
  <si>
    <t>524 2 06 31 5 025</t>
  </si>
  <si>
    <t>Kalingchok</t>
  </si>
  <si>
    <t>524 2 04 22 5 041</t>
  </si>
  <si>
    <t>Kalleri</t>
  </si>
  <si>
    <t>524 2 05 30 5 031</t>
  </si>
  <si>
    <t>Kalpabrishykha</t>
  </si>
  <si>
    <t>524 2 04 20 5 041</t>
  </si>
  <si>
    <t>Kalyanpur</t>
  </si>
  <si>
    <t>524 2 05 28 5 053</t>
  </si>
  <si>
    <t>Kankada</t>
  </si>
  <si>
    <t>KanpurKalapani</t>
  </si>
  <si>
    <t>524 2 05 24 5 013</t>
  </si>
  <si>
    <t>Kapilakot</t>
  </si>
  <si>
    <t>524 2 04 20 5 040</t>
  </si>
  <si>
    <t>Kaptigaun(Khigikati)</t>
  </si>
  <si>
    <t>Karthali</t>
  </si>
  <si>
    <t>524 2 05 23 5 001</t>
  </si>
  <si>
    <t>KartikeDeurali</t>
  </si>
  <si>
    <t>Kashigaun</t>
  </si>
  <si>
    <t>524 3 07 36 5 045</t>
  </si>
  <si>
    <t>Katakuti</t>
  </si>
  <si>
    <t>524 2 04 22 5 045</t>
  </si>
  <si>
    <t>524 2 04 21 5 002</t>
  </si>
  <si>
    <t>Katunje</t>
  </si>
  <si>
    <t>524 2 05 30 5 002</t>
  </si>
  <si>
    <t>KatunjeBesi</t>
  </si>
  <si>
    <t>524 2 05 24 5 014</t>
  </si>
  <si>
    <t>Kaule</t>
  </si>
  <si>
    <t>524 2 05 28 5 058</t>
  </si>
  <si>
    <t>524 2 05 24 5 038</t>
  </si>
  <si>
    <t>Kerabari</t>
  </si>
  <si>
    <t>524 3 07 36 5 022</t>
  </si>
  <si>
    <t>Kerauja</t>
  </si>
  <si>
    <t>Ketuke</t>
  </si>
  <si>
    <t>Kewalpur</t>
  </si>
  <si>
    <t>524 2 05 30 5 036</t>
  </si>
  <si>
    <t>Khadadevi</t>
  </si>
  <si>
    <t>KhadagBhanjyang</t>
  </si>
  <si>
    <t>524 2 05 28 5 048</t>
  </si>
  <si>
    <t>KhaharePangu</t>
  </si>
  <si>
    <t>524 2 05 24 5 030</t>
  </si>
  <si>
    <t>Khairang</t>
  </si>
  <si>
    <t>524 2 06 31 5 023</t>
  </si>
  <si>
    <t>Khalte</t>
  </si>
  <si>
    <t>524 2 05 24 5 036</t>
  </si>
  <si>
    <t>524 2 04 20 5 001</t>
  </si>
  <si>
    <t>Khaniyapani</t>
  </si>
  <si>
    <t>524 2 04 21 5 036</t>
  </si>
  <si>
    <t>Kharanitar</t>
  </si>
  <si>
    <t>524 2 05 28 5 041</t>
  </si>
  <si>
    <t>Khare</t>
  </si>
  <si>
    <t>524 2 04 22 5 022</t>
  </si>
  <si>
    <t>Kharelthok</t>
  </si>
  <si>
    <t>524 2 05 24 5 081</t>
  </si>
  <si>
    <t>Khari</t>
  </si>
  <si>
    <t>524 2 05 30 5 022</t>
  </si>
  <si>
    <t>Kharibot</t>
  </si>
  <si>
    <t>Kharpachok</t>
  </si>
  <si>
    <t>524 2 05 24 5 022</t>
  </si>
  <si>
    <t>KhijiChandeshwori</t>
  </si>
  <si>
    <t>Khijifalate</t>
  </si>
  <si>
    <t>Khimti</t>
  </si>
  <si>
    <t>524 2 04 21 5 025</t>
  </si>
  <si>
    <t>524 2 05 25 5 034</t>
  </si>
  <si>
    <t>Kholagaun</t>
  </si>
  <si>
    <t>524 2 04 20 5 002</t>
  </si>
  <si>
    <t>524 2 05 28 5 040</t>
  </si>
  <si>
    <t>Khopachagu</t>
  </si>
  <si>
    <t>524 2 04 22 5 042</t>
  </si>
  <si>
    <t>Khoplang</t>
  </si>
  <si>
    <t>524 3 07 36 5 030</t>
  </si>
  <si>
    <t>Kintang</t>
  </si>
  <si>
    <t>524 2 05 28 5 054</t>
  </si>
  <si>
    <t>Kiranchok</t>
  </si>
  <si>
    <t>524 2 05 30 5 044</t>
  </si>
  <si>
    <t>Kirtipur N.P.</t>
  </si>
  <si>
    <t>524 2 05 27 3 002</t>
  </si>
  <si>
    <t>Kiwool</t>
  </si>
  <si>
    <t>524 2 05 23 5 073</t>
  </si>
  <si>
    <t>Kogate</t>
  </si>
  <si>
    <t>524 2 06 31 5 042</t>
  </si>
  <si>
    <t>KolatiBhumlu</t>
  </si>
  <si>
    <t>524 2 05 24 5 074</t>
  </si>
  <si>
    <t>Koshidekha</t>
  </si>
  <si>
    <t>524 2 05 24 5 080</t>
  </si>
  <si>
    <t>524 2 05 23 5 037</t>
  </si>
  <si>
    <t>Kubukasthali</t>
  </si>
  <si>
    <t>524 2 04 21 5 021</t>
  </si>
  <si>
    <t>Kuibhir</t>
  </si>
  <si>
    <t>Kulekhani</t>
  </si>
  <si>
    <t>524 2 06 31 5 037</t>
  </si>
  <si>
    <t>Kumari</t>
  </si>
  <si>
    <t>524 2 05 28 5 004</t>
  </si>
  <si>
    <t>Kumpur</t>
  </si>
  <si>
    <t>524 2 05 30 5 033</t>
  </si>
  <si>
    <t>Kunchok</t>
  </si>
  <si>
    <t>524 2 05 23 5 046</t>
  </si>
  <si>
    <t>Kuntadevi</t>
  </si>
  <si>
    <t>KuruwasChapakhori</t>
  </si>
  <si>
    <t>524 2 05 24 5 012</t>
  </si>
  <si>
    <t>KusesworDumja</t>
  </si>
  <si>
    <t>524 2 04 20 5 050</t>
  </si>
  <si>
    <t>Kushadevi</t>
  </si>
  <si>
    <t>524 2 05 24 5 062</t>
  </si>
  <si>
    <t>Kyaneshwor</t>
  </si>
  <si>
    <t>524 2 04 20 5 021</t>
  </si>
  <si>
    <t>Lachyang</t>
  </si>
  <si>
    <t>524 2 05 28 5 042</t>
  </si>
  <si>
    <t>524 2 04 20 5 010</t>
  </si>
  <si>
    <t>Laduk</t>
  </si>
  <si>
    <t>524 2 04 22 5 043</t>
  </si>
  <si>
    <t>Laharepouwa</t>
  </si>
  <si>
    <t>524 2 05 29 5 007</t>
  </si>
  <si>
    <t>Lakhanpur</t>
  </si>
  <si>
    <t>524 2 04 21 5 037</t>
  </si>
  <si>
    <t>LakuriDada</t>
  </si>
  <si>
    <t>524 2 04 22 5 030</t>
  </si>
  <si>
    <t>Lamabagar</t>
  </si>
  <si>
    <t>524 2 04 22 5 027</t>
  </si>
  <si>
    <t>Lamidada</t>
  </si>
  <si>
    <t>524 2 04 22 5 035</t>
  </si>
  <si>
    <t>Lampantar</t>
  </si>
  <si>
    <t>524 2 05 23 5 076</t>
  </si>
  <si>
    <t>Langtang</t>
  </si>
  <si>
    <t>524 2 05 29 5 015</t>
  </si>
  <si>
    <t>Lapa</t>
  </si>
  <si>
    <t>524 2 05 30 5 017</t>
  </si>
  <si>
    <t>Lapilang</t>
  </si>
  <si>
    <t>524 2 04 22 5 036</t>
  </si>
  <si>
    <t>Laprak</t>
  </si>
  <si>
    <t>Lapu</t>
  </si>
  <si>
    <t>524 3 07 36 5 048</t>
  </si>
  <si>
    <t>524 2 05 25 5 004</t>
  </si>
  <si>
    <t>Lho</t>
  </si>
  <si>
    <t>524 3 07 36 5 040</t>
  </si>
  <si>
    <t>Likhu</t>
  </si>
  <si>
    <t>524 2 05 28 5 017</t>
  </si>
  <si>
    <t>Lisankhu</t>
  </si>
  <si>
    <t>524 2 05 23 5 020</t>
  </si>
  <si>
    <t>Listikot</t>
  </si>
  <si>
    <t>524 2 05 23 5 007</t>
  </si>
  <si>
    <t>Machchhegaun</t>
  </si>
  <si>
    <t>524 2 05 24 5 015</t>
  </si>
  <si>
    <t>MadanKundari</t>
  </si>
  <si>
    <t>524 2 05 24 5 007</t>
  </si>
  <si>
    <t>Madanpur</t>
  </si>
  <si>
    <t>524 2 05 28 5 012</t>
  </si>
  <si>
    <t>Madhavpur</t>
  </si>
  <si>
    <t>524 2 05 26 3 002</t>
  </si>
  <si>
    <t>Magapauwa</t>
  </si>
  <si>
    <t>524 2 04 22 5 046</t>
  </si>
  <si>
    <t>Mahadevdada</t>
  </si>
  <si>
    <t>524 2 04 20 5 003</t>
  </si>
  <si>
    <t>Mahadevsthan</t>
  </si>
  <si>
    <t>524 2 05 30 5 040</t>
  </si>
  <si>
    <t>524 2 04 20 5 038</t>
  </si>
  <si>
    <t>MahadevsthanMandan</t>
  </si>
  <si>
    <t>524 2 05 24 5 072</t>
  </si>
  <si>
    <t>Mahadevtar</t>
  </si>
  <si>
    <t>524 2 05 24 5 031</t>
  </si>
  <si>
    <t>Mahakali</t>
  </si>
  <si>
    <t>524 2 05 28 5 018</t>
  </si>
  <si>
    <t>Mahankal</t>
  </si>
  <si>
    <t>MahankalChaur</t>
  </si>
  <si>
    <t>524 2 05 24 5 032</t>
  </si>
  <si>
    <t>Mahendrajhayadi</t>
  </si>
  <si>
    <t>524 2 04 20 5 042</t>
  </si>
  <si>
    <t>MahendraJyoti</t>
  </si>
  <si>
    <t>Maidi</t>
  </si>
  <si>
    <t>524 2 05 30 5 024</t>
  </si>
  <si>
    <t>MajhiFeda</t>
  </si>
  <si>
    <t>524 2 05 24 5 008</t>
  </si>
  <si>
    <t>Majhuwa</t>
  </si>
  <si>
    <t>Majuwa</t>
  </si>
  <si>
    <t>524 2 04 21 5 040</t>
  </si>
  <si>
    <t>Makadum</t>
  </si>
  <si>
    <t>524 2 04 21 5 039</t>
  </si>
  <si>
    <t>Makaising</t>
  </si>
  <si>
    <t>524 3 07 36 5 014</t>
  </si>
  <si>
    <t>Makwanpurgadhi</t>
  </si>
  <si>
    <t>524 2 06 31 5 007</t>
  </si>
  <si>
    <t>524 2 04 22 5 032</t>
  </si>
  <si>
    <t>Malta</t>
  </si>
  <si>
    <t>Malu</t>
  </si>
  <si>
    <t>524 2 04 22 5 013</t>
  </si>
  <si>
    <t>524 2 04 21 5 031</t>
  </si>
  <si>
    <t>Mamkha</t>
  </si>
  <si>
    <t>Manahari</t>
  </si>
  <si>
    <t>Manakamana</t>
  </si>
  <si>
    <t>524 3 07 36 5 015</t>
  </si>
  <si>
    <t>524 2 05 28 5 057</t>
  </si>
  <si>
    <t>Manbu</t>
  </si>
  <si>
    <t>524 3 07 36 5 049</t>
  </si>
  <si>
    <t>Manebhanjyang</t>
  </si>
  <si>
    <t>Maneswor</t>
  </si>
  <si>
    <t>524 2 05 23 5 009</t>
  </si>
  <si>
    <t>Mangaltar</t>
  </si>
  <si>
    <t>Manikhel</t>
  </si>
  <si>
    <t>524 2 05 25 5 012</t>
  </si>
  <si>
    <t>Mankha</t>
  </si>
  <si>
    <t>524 2 05 23 5 029</t>
  </si>
  <si>
    <t>Manthali</t>
  </si>
  <si>
    <t>524 2 06 31 5 002</t>
  </si>
  <si>
    <t>524 2 04 21 5 030</t>
  </si>
  <si>
    <t>Marbu</t>
  </si>
  <si>
    <t>524 2 04 22 5 023</t>
  </si>
  <si>
    <t>Markhu</t>
  </si>
  <si>
    <t>Marming</t>
  </si>
  <si>
    <t>524 2 05 23 5 004</t>
  </si>
  <si>
    <t>Marpak</t>
  </si>
  <si>
    <t>524 2 05 30 5 003</t>
  </si>
  <si>
    <t>Masel</t>
  </si>
  <si>
    <t>524 3 07 36 5 057</t>
  </si>
  <si>
    <t>524 2 05 24 5 039</t>
  </si>
  <si>
    <t>Melung</t>
  </si>
  <si>
    <t>524 2 04 22 5 019</t>
  </si>
  <si>
    <t>524 2 05 24 5 016</t>
  </si>
  <si>
    <t>Milche</t>
  </si>
  <si>
    <t>524 2 05 24 5 045</t>
  </si>
  <si>
    <t>Mirge</t>
  </si>
  <si>
    <t>Moli</t>
  </si>
  <si>
    <t>Motang</t>
  </si>
  <si>
    <t>524 2 05 23 5 069</t>
  </si>
  <si>
    <t>Muchhok</t>
  </si>
  <si>
    <t>524 3 07 36 5 036</t>
  </si>
  <si>
    <t>Mulkharka</t>
  </si>
  <si>
    <t>Mulpani</t>
  </si>
  <si>
    <t>524 2 05 30 5 012</t>
  </si>
  <si>
    <t>524 2 05 30 5 025</t>
  </si>
  <si>
    <t>NagaDaha</t>
  </si>
  <si>
    <t>NagreGagarche</t>
  </si>
  <si>
    <t>524 2 05 24 5 009</t>
  </si>
  <si>
    <t>Nala(Ugrachandi)</t>
  </si>
  <si>
    <t>524 2 05 24 5 055</t>
  </si>
  <si>
    <t>Nalang</t>
  </si>
  <si>
    <t>524 2 05 30 5 034</t>
  </si>
  <si>
    <t>Nallu</t>
  </si>
  <si>
    <t>524 2 05 25 5 006</t>
  </si>
  <si>
    <t>Namadi</t>
  </si>
  <si>
    <t>524 2 04 21 5 027</t>
  </si>
  <si>
    <t>Namdu</t>
  </si>
  <si>
    <t>524 2 04 22 5 005</t>
  </si>
  <si>
    <t>Namjung</t>
  </si>
  <si>
    <t>524 3 07 36 5 007</t>
  </si>
  <si>
    <t>Namtar</t>
  </si>
  <si>
    <t>524 2 06 31 5 026</t>
  </si>
  <si>
    <t>Narjamandap</t>
  </si>
  <si>
    <t>524 2 05 28 5 043</t>
  </si>
  <si>
    <t>Narmedeshwor</t>
  </si>
  <si>
    <t>NasikasthanSanga</t>
  </si>
  <si>
    <t>524 2 05 24 5 056</t>
  </si>
  <si>
    <t>Naubise</t>
  </si>
  <si>
    <t>524 2 05 30 5 049</t>
  </si>
  <si>
    <t>Nawalpur</t>
  </si>
  <si>
    <t>NayagaunDeupur</t>
  </si>
  <si>
    <t>524 2 05 24 5 061</t>
  </si>
  <si>
    <t>Netrakali</t>
  </si>
  <si>
    <t>524 2 04 20 5 047</t>
  </si>
  <si>
    <t>Nibuwatar</t>
  </si>
  <si>
    <t>524 2 06 31 5 039</t>
  </si>
  <si>
    <t>524 2 05 30 5 026</t>
  </si>
  <si>
    <t>Nipane</t>
  </si>
  <si>
    <t>524 2 04 20 5 033</t>
  </si>
  <si>
    <t>Okharpauwa</t>
  </si>
  <si>
    <t>524 2 05 28 5 005</t>
  </si>
  <si>
    <t>Orang</t>
  </si>
  <si>
    <t>524 2 04 22 5 049</t>
  </si>
  <si>
    <t>524 2 06 31 5 022</t>
  </si>
  <si>
    <t>Pagretar</t>
  </si>
  <si>
    <t>524 2 05 23 5 027</t>
  </si>
  <si>
    <t>Pakarbas</t>
  </si>
  <si>
    <t>524 2 04 21 5 041</t>
  </si>
  <si>
    <t>Palapu</t>
  </si>
  <si>
    <t>Palchok</t>
  </si>
  <si>
    <t>524 2 05 23 5 056</t>
  </si>
  <si>
    <t>Palte</t>
  </si>
  <si>
    <t>524 3 07 36 5 031</t>
  </si>
  <si>
    <t>524 2 06 31 5 029</t>
  </si>
  <si>
    <t>Panauti N.P.</t>
  </si>
  <si>
    <t>Panchkanya</t>
  </si>
  <si>
    <t>524 2 05 28 5 024</t>
  </si>
  <si>
    <t>524 2 05 24 5 073</t>
  </si>
  <si>
    <t>Panchkhuwadeurali</t>
  </si>
  <si>
    <t>524 3 07 36 5 056</t>
  </si>
  <si>
    <t>Pandrung</t>
  </si>
  <si>
    <t>524 3 07 36 5 058</t>
  </si>
  <si>
    <t>Pangtang</t>
  </si>
  <si>
    <t>524 2 05 23 5 072</t>
  </si>
  <si>
    <t>Patalekhet</t>
  </si>
  <si>
    <t>524 2 05 24 5 040</t>
  </si>
  <si>
    <t>Pawati</t>
  </si>
  <si>
    <t>524 2 04 22 5 020</t>
  </si>
  <si>
    <t>Petaku</t>
  </si>
  <si>
    <t>524 2 05 23 5 010</t>
  </si>
  <si>
    <t>Phulasi</t>
  </si>
  <si>
    <t>524 2 04 21 5 054</t>
  </si>
  <si>
    <t>Phulkhark</t>
  </si>
  <si>
    <t>524 2 05 30 5 013</t>
  </si>
  <si>
    <t>Pida</t>
  </si>
  <si>
    <t>524 2 05 30 5 045</t>
  </si>
  <si>
    <t>Pinkhuri</t>
  </si>
  <si>
    <t>524 2 04 21 5 048</t>
  </si>
  <si>
    <t>524 2 05 23 5 036</t>
  </si>
  <si>
    <t>Pipalmadi</t>
  </si>
  <si>
    <t>524 2 04 20 5 043</t>
  </si>
  <si>
    <t>Piskar</t>
  </si>
  <si>
    <t>Pokali</t>
  </si>
  <si>
    <t>Pokhare</t>
  </si>
  <si>
    <t>PokhariChauri</t>
  </si>
  <si>
    <t>524 2 05 24 5 042</t>
  </si>
  <si>
    <t>PokhariNarayansthan</t>
  </si>
  <si>
    <t>524 2 05 24 5 017</t>
  </si>
  <si>
    <t>Prapcha</t>
  </si>
  <si>
    <t>Pritee</t>
  </si>
  <si>
    <t>524 2 04 21 5 016</t>
  </si>
  <si>
    <t>Prok</t>
  </si>
  <si>
    <t>524 3 07 36 5 041</t>
  </si>
  <si>
    <t>Puranagau</t>
  </si>
  <si>
    <t>PuranoJhangajholi</t>
  </si>
  <si>
    <t>524 2 04 20 5 052</t>
  </si>
  <si>
    <t>Pyutar</t>
  </si>
  <si>
    <t>Ragadeep</t>
  </si>
  <si>
    <t>Ragani</t>
  </si>
  <si>
    <t>Raigaun</t>
  </si>
  <si>
    <t>Rakathum</t>
  </si>
  <si>
    <t>524 2 04 21 5 042</t>
  </si>
  <si>
    <t>Raksirang</t>
  </si>
  <si>
    <t>Ralukadevi</t>
  </si>
  <si>
    <t>524 2 05 28 5 031</t>
  </si>
  <si>
    <t>Ramche</t>
  </si>
  <si>
    <t>524 2 05 29 5 008</t>
  </si>
  <si>
    <t>524 2 05 23 5 028</t>
  </si>
  <si>
    <t>524 2 04 21 5 001</t>
  </si>
  <si>
    <t>Rampur</t>
  </si>
  <si>
    <t>524 2 04 21 5 008</t>
  </si>
  <si>
    <t>Raniban</t>
  </si>
  <si>
    <t>Ranibas</t>
  </si>
  <si>
    <t>524 2 04 20 5 019</t>
  </si>
  <si>
    <t>Ranichuri</t>
  </si>
  <si>
    <t>524 2 04 20 5 020</t>
  </si>
  <si>
    <t>Rasanalu</t>
  </si>
  <si>
    <t>524 2 04 21 5 022</t>
  </si>
  <si>
    <t>Ratanchura</t>
  </si>
  <si>
    <t>524 2 04 20 5 026</t>
  </si>
  <si>
    <t>Ratmata</t>
  </si>
  <si>
    <t>Ratmate</t>
  </si>
  <si>
    <t>524 2 05 28 5 020</t>
  </si>
  <si>
    <t>Ratnawati</t>
  </si>
  <si>
    <t>524 2 04 20 5 004</t>
  </si>
  <si>
    <t>Rautbesi</t>
  </si>
  <si>
    <t>524 2 05 28 5 025</t>
  </si>
  <si>
    <t>RaviOpi</t>
  </si>
  <si>
    <t>Rawadolu</t>
  </si>
  <si>
    <t>ReeGaun</t>
  </si>
  <si>
    <t>524 2 05 30 5 018</t>
  </si>
  <si>
    <t>RyaleBhir</t>
  </si>
  <si>
    <t>524 2 05 24 5 064</t>
  </si>
  <si>
    <t>Sahare</t>
  </si>
  <si>
    <t>524 2 04 22 5 018</t>
  </si>
  <si>
    <t>Sailungeswor</t>
  </si>
  <si>
    <t>524 2 04 22 5 050</t>
  </si>
  <si>
    <t>524 2 05 25 5 033</t>
  </si>
  <si>
    <t>Saipu</t>
  </si>
  <si>
    <t>524 2 04 21 5 017</t>
  </si>
  <si>
    <t>Salang</t>
  </si>
  <si>
    <t>524 2 05 30 5 028</t>
  </si>
  <si>
    <t>Saldhara</t>
  </si>
  <si>
    <t>524 2 05 24 5 049</t>
  </si>
  <si>
    <t>SalleBhumlu</t>
  </si>
  <si>
    <t>524 2 05 24 5 083</t>
  </si>
  <si>
    <t>Salme</t>
  </si>
  <si>
    <t>524 2 05 28 5 060</t>
  </si>
  <si>
    <t>524 2 05 24 5 050</t>
  </si>
  <si>
    <t>524 2 04 21 5 003</t>
  </si>
  <si>
    <t>Salyankot</t>
  </si>
  <si>
    <t>524 2 05 30 5 014</t>
  </si>
  <si>
    <t>Salyantar</t>
  </si>
  <si>
    <t>524 2 05 30 5 008</t>
  </si>
  <si>
    <t>Samagaun</t>
  </si>
  <si>
    <t>524 3 07 36 5 042</t>
  </si>
  <si>
    <t>Samari</t>
  </si>
  <si>
    <t>524 2 05 28 5 055</t>
  </si>
  <si>
    <t>Samundradevi</t>
  </si>
  <si>
    <t>524 2 05 28 5 016</t>
  </si>
  <si>
    <t>Samundratar</t>
  </si>
  <si>
    <t>524 2 05 28 5 032</t>
  </si>
  <si>
    <t>Sangachok</t>
  </si>
  <si>
    <t>524 2 05 23 5 042</t>
  </si>
  <si>
    <t>Sanghutar</t>
  </si>
  <si>
    <t>524 2 04 21 5 009</t>
  </si>
  <si>
    <t>524 2 05 30 5 027</t>
  </si>
  <si>
    <t>Sankhu</t>
  </si>
  <si>
    <t>524 2 05 25 5 013</t>
  </si>
  <si>
    <t>SankhupatiChour</t>
  </si>
  <si>
    <t>524 2 05 24 5 018</t>
  </si>
  <si>
    <t>Sanowangthali</t>
  </si>
  <si>
    <t>524 2 05 24 5 010</t>
  </si>
  <si>
    <t>Santeswori(Rampur)</t>
  </si>
  <si>
    <t>524 2 04 20 5 048</t>
  </si>
  <si>
    <t>Saping</t>
  </si>
  <si>
    <t>524 2 05 24 5 084</t>
  </si>
  <si>
    <t>SaradaBatase</t>
  </si>
  <si>
    <t>Saramthali</t>
  </si>
  <si>
    <t>524 2 05 29 5 004</t>
  </si>
  <si>
    <t>Sarasyunkhark</t>
  </si>
  <si>
    <t>SarikhetPalase</t>
  </si>
  <si>
    <t>524 2 06 31 5 018</t>
  </si>
  <si>
    <t>524 2 05 24 5 085</t>
  </si>
  <si>
    <t>Satyadevi</t>
  </si>
  <si>
    <t>524 2 05 30 5 004</t>
  </si>
  <si>
    <t>Saurpani</t>
  </si>
  <si>
    <t>524 3 07 36 5 061</t>
  </si>
  <si>
    <t>Selang</t>
  </si>
  <si>
    <t>524 2 05 23 5 032</t>
  </si>
  <si>
    <t>Semjong</t>
  </si>
  <si>
    <t>524 2 05 30 5 019</t>
  </si>
  <si>
    <t>Serna</t>
  </si>
  <si>
    <t>Sertung</t>
  </si>
  <si>
    <t>524 2 05 30 5 005</t>
  </si>
  <si>
    <t>Shikharbesi</t>
  </si>
  <si>
    <t>524 2 05 28 5 033</t>
  </si>
  <si>
    <t>Shikharpur</t>
  </si>
  <si>
    <t>524 2 06 31 5 014</t>
  </si>
  <si>
    <t>Shreechaur</t>
  </si>
  <si>
    <t>Shreenathkot</t>
  </si>
  <si>
    <t>524 3 07 36 5 032</t>
  </si>
  <si>
    <t>ShreepurChhatiwan</t>
  </si>
  <si>
    <t>524 2 06 31 5 008</t>
  </si>
  <si>
    <t>524 2 05 25 5 031</t>
  </si>
  <si>
    <t>SikharAmbote</t>
  </si>
  <si>
    <t>524 2 05 24 5 033</t>
  </si>
  <si>
    <t>524 2 05 23 5 074</t>
  </si>
  <si>
    <t>Sikre</t>
  </si>
  <si>
    <t>524 2 05 28 5 019</t>
  </si>
  <si>
    <t>SimalchourSyampati</t>
  </si>
  <si>
    <t>524 2 05 24 5 044</t>
  </si>
  <si>
    <t>Simjung</t>
  </si>
  <si>
    <t>524 3 07 36 5 035</t>
  </si>
  <si>
    <t>Simthali</t>
  </si>
  <si>
    <t>524 2 05 24 5 087</t>
  </si>
  <si>
    <t>Singhadevi</t>
  </si>
  <si>
    <t>SipaliChilaune</t>
  </si>
  <si>
    <t>524 2 05 24 5 024</t>
  </si>
  <si>
    <t>SipalKavre</t>
  </si>
  <si>
    <t>524 2 05 23 5 047</t>
  </si>
  <si>
    <t>SipaPokhare</t>
  </si>
  <si>
    <t>524 2 05 23 5 052</t>
  </si>
  <si>
    <t>Sirdibas</t>
  </si>
  <si>
    <t>524 3 07 36 5 043</t>
  </si>
  <si>
    <t>Sirthouli</t>
  </si>
  <si>
    <t>524 2 04 20 5 016</t>
  </si>
  <si>
    <t>Sisakhani</t>
  </si>
  <si>
    <t>SisneriMahadevsthan</t>
  </si>
  <si>
    <t>524 2 06 31 5 041</t>
  </si>
  <si>
    <t>Sitalpati</t>
  </si>
  <si>
    <t>524 2 04 20 5 053</t>
  </si>
  <si>
    <t>Solpathana</t>
  </si>
  <si>
    <t>524 2 04 20 5 005</t>
  </si>
  <si>
    <t>Sukaura</t>
  </si>
  <si>
    <t>524 2 04 22 5 038</t>
  </si>
  <si>
    <t>SunamPokhari</t>
  </si>
  <si>
    <t>524 2 04 20 5 006</t>
  </si>
  <si>
    <t>524 2 04 21 5 004</t>
  </si>
  <si>
    <t>Sundaradevi</t>
  </si>
  <si>
    <t>524 2 05 28 5 034</t>
  </si>
  <si>
    <t>Sundrawati</t>
  </si>
  <si>
    <t>Sunkhani</t>
  </si>
  <si>
    <t>524 2 05 28 5 006</t>
  </si>
  <si>
    <t>524 2 05 23 5 023</t>
  </si>
  <si>
    <t>Suri</t>
  </si>
  <si>
    <t>524 2 04 22 5 012</t>
  </si>
  <si>
    <t>Suryamati</t>
  </si>
  <si>
    <t>524 2 05 28 5 013</t>
  </si>
  <si>
    <t>SusmaChhemawati</t>
  </si>
  <si>
    <t>524 2 04 22 5 033</t>
  </si>
  <si>
    <t>Swara</t>
  </si>
  <si>
    <t>524 3 07 36 5 062</t>
  </si>
  <si>
    <t>Syafru</t>
  </si>
  <si>
    <t>524 2 05 29 5 017</t>
  </si>
  <si>
    <t>Syama</t>
  </si>
  <si>
    <t>524 2 04 22 5 006</t>
  </si>
  <si>
    <t>SyauleBazar</t>
  </si>
  <si>
    <t>Taklung</t>
  </si>
  <si>
    <t>Takukot</t>
  </si>
  <si>
    <t>524 3 07 36 5 063</t>
  </si>
  <si>
    <t>Takumajhalakuribot</t>
  </si>
  <si>
    <t>524 3 07 36 5 064</t>
  </si>
  <si>
    <t>Talakhu</t>
  </si>
  <si>
    <t>524 2 05 28 5 009</t>
  </si>
  <si>
    <t>524 2 05 23 5 060</t>
  </si>
  <si>
    <t>Taluwa</t>
  </si>
  <si>
    <t>Tamajor</t>
  </si>
  <si>
    <t>524 2 04 20 5 049</t>
  </si>
  <si>
    <t>524 2 04 20 5 011</t>
  </si>
  <si>
    <t>Tandrang</t>
  </si>
  <si>
    <t>524 3 07 36 5 059</t>
  </si>
  <si>
    <t>Tanglichok</t>
  </si>
  <si>
    <t>524 3 07 36 5 011</t>
  </si>
  <si>
    <t>Taple</t>
  </si>
  <si>
    <t>524 3 07 36 5 009</t>
  </si>
  <si>
    <t>Tarkerabari</t>
  </si>
  <si>
    <t>Taruka</t>
  </si>
  <si>
    <t>524 2 05 28 5 049</t>
  </si>
  <si>
    <t>Tasarpu</t>
  </si>
  <si>
    <t>Tatopani</t>
  </si>
  <si>
    <t>524 2 05 23 5 006</t>
  </si>
  <si>
    <t>Tauthali</t>
  </si>
  <si>
    <t>524 2 05 23 5 013</t>
  </si>
  <si>
    <t>Tekanpur</t>
  </si>
  <si>
    <t>524 2 05 23 5 012</t>
  </si>
  <si>
    <t>524 2 05 25 5 036</t>
  </si>
  <si>
    <t>Thakani</t>
  </si>
  <si>
    <t>524 2 05 23 5 071</t>
  </si>
  <si>
    <t>Thakle</t>
  </si>
  <si>
    <t>Thakre</t>
  </si>
  <si>
    <t>524 2 05 30 5 050</t>
  </si>
  <si>
    <t>Thalajung</t>
  </si>
  <si>
    <t>524 3 07 36 5 024</t>
  </si>
  <si>
    <t>ThampalChhap</t>
  </si>
  <si>
    <t>524 2 05 23 5 064</t>
  </si>
  <si>
    <t>Thanapati</t>
  </si>
  <si>
    <t>524 2 05 28 5 007</t>
  </si>
  <si>
    <t>Thanpalkot</t>
  </si>
  <si>
    <t>524 2 05 23 5 068</t>
  </si>
  <si>
    <t>Thansing</t>
  </si>
  <si>
    <t>524 2 05 28 5 014</t>
  </si>
  <si>
    <t>Thaprek</t>
  </si>
  <si>
    <t>524 2 05 28 5 026</t>
  </si>
  <si>
    <t>Thingan</t>
  </si>
  <si>
    <t>524 2 06 31 5 001</t>
  </si>
  <si>
    <t>Thokarpa</t>
  </si>
  <si>
    <t>524 2 05 23 5 018</t>
  </si>
  <si>
    <t>Thoksel</t>
  </si>
  <si>
    <t>Those</t>
  </si>
  <si>
    <t>524 2 04 21 5 023</t>
  </si>
  <si>
    <t>Thulachhap</t>
  </si>
  <si>
    <t>Thuladurlung</t>
  </si>
  <si>
    <t>ThuloDhading</t>
  </si>
  <si>
    <t>524 2 05 23 5 021</t>
  </si>
  <si>
    <t>Thulogoun</t>
  </si>
  <si>
    <t>524 2 05 29 5 010</t>
  </si>
  <si>
    <t>ThuloPakhar</t>
  </si>
  <si>
    <t>524 2 05 23 5 025</t>
  </si>
  <si>
    <t>ThuloParsel</t>
  </si>
  <si>
    <t>524 2 04 22 5 007</t>
  </si>
  <si>
    <t>ThuloSirubari</t>
  </si>
  <si>
    <t>524 2 05 23 5 041</t>
  </si>
  <si>
    <t>Thuman</t>
  </si>
  <si>
    <t>524 2 05 29 5 014</t>
  </si>
  <si>
    <t>Thumi</t>
  </si>
  <si>
    <t>ThumPakhar</t>
  </si>
  <si>
    <t>524 2 05 23 5 026</t>
  </si>
  <si>
    <t>Tilpung</t>
  </si>
  <si>
    <t>524 2 04 21 5 029</t>
  </si>
  <si>
    <t>Timure</t>
  </si>
  <si>
    <t>524 2 05 29 5 013</t>
  </si>
  <si>
    <t>Tinkanya</t>
  </si>
  <si>
    <t>524 2 04 20 5 027</t>
  </si>
  <si>
    <t>Tipling</t>
  </si>
  <si>
    <t>524 2 05 30 5 020</t>
  </si>
  <si>
    <t>TistungDeurali</t>
  </si>
  <si>
    <t>524 2 06 31 5 033</t>
  </si>
  <si>
    <t>Tokarpur</t>
  </si>
  <si>
    <t>524 2 04 21 5 055</t>
  </si>
  <si>
    <t>Tosramkhola</t>
  </si>
  <si>
    <t>524 2 04 20 5 018</t>
  </si>
  <si>
    <t>TribhuvanAmbote</t>
  </si>
  <si>
    <t>524 2 04 20 5 017</t>
  </si>
  <si>
    <t>Tripureswor</t>
  </si>
  <si>
    <t>524 2 05 30 5 015</t>
  </si>
  <si>
    <t>TukuchaNala</t>
  </si>
  <si>
    <t>524 2 05 24 5 057</t>
  </si>
  <si>
    <t>Tupche</t>
  </si>
  <si>
    <t>524 2 05 28 5 061</t>
  </si>
  <si>
    <t>Ubu</t>
  </si>
  <si>
    <t>UgrataraJanagal</t>
  </si>
  <si>
    <t>Uhya</t>
  </si>
  <si>
    <t>524 3 07 36 5 051</t>
  </si>
  <si>
    <t>Urleni</t>
  </si>
  <si>
    <t>524 2 05 28 5 035</t>
  </si>
  <si>
    <t>Warpak</t>
  </si>
  <si>
    <t>524 3 07 36 5 065</t>
  </si>
  <si>
    <t>Yamunadanda</t>
  </si>
  <si>
    <t>524 2 05 23 5 024</t>
  </si>
  <si>
    <t>Yarsa</t>
  </si>
  <si>
    <t>524 2 05 29 5 003</t>
  </si>
  <si>
    <t>Yasam</t>
  </si>
  <si>
    <t>Zone</t>
  </si>
  <si>
    <t>District</t>
  </si>
  <si>
    <t>VDC</t>
  </si>
  <si>
    <t>District_Code</t>
  </si>
  <si>
    <t>VDC_Code</t>
  </si>
  <si>
    <t>Ward</t>
  </si>
  <si>
    <t>AAR Japan</t>
  </si>
  <si>
    <t>Accountability Lab</t>
  </si>
  <si>
    <t>ActionAid</t>
  </si>
  <si>
    <t>ADH, Germany Grant</t>
  </si>
  <si>
    <t>ADRA Nepal</t>
  </si>
  <si>
    <t>Agency for Technical Cooperation and Development</t>
  </si>
  <si>
    <t>AKF</t>
  </si>
  <si>
    <t>All Hands</t>
  </si>
  <si>
    <t>All Hands Volunteers</t>
  </si>
  <si>
    <t>American Red Cross</t>
  </si>
  <si>
    <t>AN</t>
  </si>
  <si>
    <t>Animal Nepal</t>
  </si>
  <si>
    <t>ANSAB/Relief Intl</t>
  </si>
  <si>
    <t>Arbeiter-Samariter-Bund Nepal</t>
  </si>
  <si>
    <t>Architects Urgent</t>
  </si>
  <si>
    <t>Architectural Consultant</t>
  </si>
  <si>
    <t>Architecture Sans Frontieres Nepal (ASF Nepal)</t>
  </si>
  <si>
    <t>ARSOW Nepal</t>
  </si>
  <si>
    <t>Asia Pacific Alliance for Disaster Management</t>
  </si>
  <si>
    <t>Association for Solidarity in ASIA</t>
  </si>
  <si>
    <t>Aussie Action Abroad</t>
  </si>
  <si>
    <t>Austrian Red Cross</t>
  </si>
  <si>
    <t>AWO International</t>
  </si>
  <si>
    <t>Aythos</t>
  </si>
  <si>
    <t>Batas Foundation</t>
  </si>
  <si>
    <t>Belgian RC-Flanders</t>
  </si>
  <si>
    <t>Buddha Kumari Foundation</t>
  </si>
  <si>
    <t>Build Change</t>
  </si>
  <si>
    <t>CAFOD</t>
  </si>
  <si>
    <t>CanadaMEA</t>
  </si>
  <si>
    <t>Care France</t>
  </si>
  <si>
    <t>CARE Nepal</t>
  </si>
  <si>
    <t>Caritas Austria</t>
  </si>
  <si>
    <t>Caritas Germany</t>
  </si>
  <si>
    <t>Caritas Nepal</t>
  </si>
  <si>
    <t>Caritas Switzerland</t>
  </si>
  <si>
    <t>Catholic Relief Services</t>
  </si>
  <si>
    <t>CDECF</t>
  </si>
  <si>
    <t>CDF Nepal</t>
  </si>
  <si>
    <t>CDRA Nepal</t>
  </si>
  <si>
    <t>CDRA Nepal/Creative/GGC Nepal</t>
  </si>
  <si>
    <t>CEEDF</t>
  </si>
  <si>
    <t>Centre for Environmental Action and Development</t>
  </si>
  <si>
    <t>Cesvi</t>
  </si>
  <si>
    <t>Chaudhary Foundation</t>
  </si>
  <si>
    <t>Chaudhary Group</t>
  </si>
  <si>
    <t>CHESS Gorkha</t>
  </si>
  <si>
    <t>Christian Aid</t>
  </si>
  <si>
    <t>Childspace Foundation Nepal</t>
  </si>
  <si>
    <t>Clean Energy Nepal</t>
  </si>
  <si>
    <t>CoE</t>
  </si>
  <si>
    <t>Clean Up Nepal</t>
  </si>
  <si>
    <t>Colorado College</t>
  </si>
  <si>
    <t>Community Development Society</t>
  </si>
  <si>
    <t>Community Self-reliance Center</t>
  </si>
  <si>
    <t>Concern Worldwide</t>
  </si>
  <si>
    <t>Conscious Connections Foundation</t>
  </si>
  <si>
    <t>Cordaid</t>
  </si>
  <si>
    <t>COSOC</t>
  </si>
  <si>
    <t>Creative Service &amp; Sales Center (CMES)</t>
  </si>
  <si>
    <t>CSON</t>
  </si>
  <si>
    <t>CWIN/TUKI</t>
  </si>
  <si>
    <t>Dan Church Aid</t>
  </si>
  <si>
    <t>DCU</t>
  </si>
  <si>
    <t>DEC</t>
  </si>
  <si>
    <t>Deepjyoti Samaj Sundar Sangh</t>
  </si>
  <si>
    <t>Department for International Development</t>
  </si>
  <si>
    <t>DFAT</t>
  </si>
  <si>
    <t>DFATD (Canada)</t>
  </si>
  <si>
    <t>Diakonie Katastrophenhilfe (DKH)</t>
  </si>
  <si>
    <t>Digital Humanitarian Network</t>
  </si>
  <si>
    <t>Disaster Corps Int'l</t>
  </si>
  <si>
    <t>District Disaster Relief Committee</t>
  </si>
  <si>
    <t>DUDBC</t>
  </si>
  <si>
    <t>District Education Office</t>
  </si>
  <si>
    <t>District Police Office</t>
  </si>
  <si>
    <t>District Technical Office</t>
  </si>
  <si>
    <t>ECARDS</t>
  </si>
  <si>
    <t>ECON</t>
  </si>
  <si>
    <t>ECO-Nepal</t>
  </si>
  <si>
    <t>Educate the Children</t>
  </si>
  <si>
    <t>EDUCATION for ALL (NEfA) Switzerland</t>
  </si>
  <si>
    <t>Embassy of India Kathmandu</t>
  </si>
  <si>
    <t>Emergency Architects</t>
  </si>
  <si>
    <t>Engineering Ministries Internationl</t>
  </si>
  <si>
    <t>ESF</t>
  </si>
  <si>
    <t>Engineers without Borders Germany</t>
  </si>
  <si>
    <t>Engineers without Borders USA</t>
  </si>
  <si>
    <t>Environmental Camps for Conservation Awareness</t>
  </si>
  <si>
    <t>European Commission's Humanitarian Aid Office</t>
  </si>
  <si>
    <t>FAYA</t>
  </si>
  <si>
    <t>Federation of Business and Professional Nepal</t>
  </si>
  <si>
    <t>Fida International</t>
  </si>
  <si>
    <t>Florida international university</t>
  </si>
  <si>
    <t>Fondation De France</t>
  </si>
  <si>
    <t>Global Communities</t>
  </si>
  <si>
    <t>Friends of Nepal Association</t>
  </si>
  <si>
    <t>Friends Service Council Nepal</t>
  </si>
  <si>
    <t>GNZ</t>
  </si>
  <si>
    <t>German Red Cross</t>
  </si>
  <si>
    <t>GIZ Germany</t>
  </si>
  <si>
    <t>GMSP</t>
  </si>
  <si>
    <t>GOAL</t>
  </si>
  <si>
    <t>GoN</t>
  </si>
  <si>
    <t>Good Helpers</t>
  </si>
  <si>
    <t>Good Neighbors International</t>
  </si>
  <si>
    <t>Govinda Development Aid</t>
  </si>
  <si>
    <t>Habitat for Humanity International</t>
  </si>
  <si>
    <t>Handicap International</t>
  </si>
  <si>
    <t>Help - Hilfe zur Selbsthilfe</t>
  </si>
  <si>
    <t>Helpage Interantional Nepal</t>
  </si>
  <si>
    <t>HELVETAS Swiss Intercooperation Nepal</t>
  </si>
  <si>
    <t>Himalayan Climate Initiative</t>
  </si>
  <si>
    <t>Himalayan Healthcare Inc.</t>
  </si>
  <si>
    <t>HIMS</t>
  </si>
  <si>
    <t>Housing Subsidy System</t>
  </si>
  <si>
    <t>Humedica</t>
  </si>
  <si>
    <t>HURADEC Nepal</t>
  </si>
  <si>
    <t>IINET</t>
  </si>
  <si>
    <t>Insaf Malaysia</t>
  </si>
  <si>
    <t>Institution for Suitable Actions for Prosperity</t>
  </si>
  <si>
    <t>InterAction</t>
  </si>
  <si>
    <t>International Disaster Volunteers</t>
  </si>
  <si>
    <t>International Federation of Red Cross</t>
  </si>
  <si>
    <t>International Medical Corps</t>
  </si>
  <si>
    <t>International Organization for Migration</t>
  </si>
  <si>
    <t>ISAP</t>
  </si>
  <si>
    <t>Islamic Relief</t>
  </si>
  <si>
    <t>IsraAID</t>
  </si>
  <si>
    <t>Japan International Cooperation Agency</t>
  </si>
  <si>
    <t>Japan Platform</t>
  </si>
  <si>
    <t>KIT (CEDIM)</t>
  </si>
  <si>
    <t>Joint Youth and Students Platform</t>
  </si>
  <si>
    <t>KIT / South Asian Institute</t>
  </si>
  <si>
    <t>Karuna Foundation</t>
  </si>
  <si>
    <t>Knowledge Works</t>
  </si>
  <si>
    <t>LUMANTI</t>
  </si>
  <si>
    <t>Langtang Reconstruction and Management Committee</t>
  </si>
  <si>
    <t>LCD SINGAPORE</t>
  </si>
  <si>
    <t>LWF</t>
  </si>
  <si>
    <t>Local Development Officer</t>
  </si>
  <si>
    <t>Local Interventions Group</t>
  </si>
  <si>
    <t>Lutheran World Relief</t>
  </si>
  <si>
    <t>Malteser International</t>
  </si>
  <si>
    <t>Manaslu Conservation Area Project (MCAP)</t>
  </si>
  <si>
    <t>MDM</t>
  </si>
  <si>
    <t>MedAir</t>
  </si>
  <si>
    <t>Medico International</t>
  </si>
  <si>
    <t>Mennonite Central Committee</t>
  </si>
  <si>
    <t>Mercy Corps</t>
  </si>
  <si>
    <t>Minergy Pvt. Ltd</t>
  </si>
  <si>
    <t>MISEREOR</t>
  </si>
  <si>
    <t>Mission East Nepal</t>
  </si>
  <si>
    <t>More Than Shelters</t>
  </si>
  <si>
    <t>MoUD</t>
  </si>
  <si>
    <t>MSF OCB</t>
  </si>
  <si>
    <t>NCV</t>
  </si>
  <si>
    <t>Namaste Nepal</t>
  </si>
  <si>
    <t>Narjyoti Center</t>
  </si>
  <si>
    <t>Nazarene Compassionate Ministries</t>
  </si>
  <si>
    <t>Nepal Delegate</t>
  </si>
  <si>
    <t>Nepal Development Society</t>
  </si>
  <si>
    <t>Nepal Disabled Women Association</t>
  </si>
  <si>
    <t>Nepal Red Cross Society</t>
  </si>
  <si>
    <t>Nepal Rises</t>
  </si>
  <si>
    <t>NFDN</t>
  </si>
  <si>
    <t>Nepal Share</t>
  </si>
  <si>
    <t>Nepal Youth Foundation</t>
  </si>
  <si>
    <t>Nepalhilfe Aachen</t>
  </si>
  <si>
    <t>Nepali for Nepali</t>
  </si>
  <si>
    <t>NGO Federation</t>
  </si>
  <si>
    <t>NJSI</t>
  </si>
  <si>
    <t>Norwegian Church Aid</t>
  </si>
  <si>
    <t>OM Nepal</t>
  </si>
  <si>
    <t>Norwegian Red Cross</t>
  </si>
  <si>
    <t>OXFAM GB</t>
  </si>
  <si>
    <t>NRDS</t>
  </si>
  <si>
    <t>NSET-Nepal</t>
  </si>
  <si>
    <t>Nyayik Sansar</t>
  </si>
  <si>
    <t>Office of Foreign Disaster Assistance</t>
  </si>
  <si>
    <t>Peace and Justice Promotion Center</t>
  </si>
  <si>
    <t>Peace Wind Japan</t>
  </si>
  <si>
    <t>People In Need</t>
  </si>
  <si>
    <t>PHASE Nepal</t>
  </si>
  <si>
    <t>Rasuwa Relief</t>
  </si>
  <si>
    <t>PM &amp; AO</t>
  </si>
  <si>
    <t>REACH</t>
  </si>
  <si>
    <t>PN</t>
  </si>
  <si>
    <t>Polish Humanitarian Action</t>
  </si>
  <si>
    <t>Qatar Red Crescent</t>
  </si>
  <si>
    <t>Real Relief</t>
  </si>
  <si>
    <t>Red Cross (SWISS/Nepal)</t>
  </si>
  <si>
    <t>RedR India</t>
  </si>
  <si>
    <t>Relief ERU</t>
  </si>
  <si>
    <t>Relief International</t>
  </si>
  <si>
    <t>Rensselaer Polytechnic Institute</t>
  </si>
  <si>
    <t>Resource Center Engineer</t>
  </si>
  <si>
    <t>RIMS</t>
  </si>
  <si>
    <t>Rotary Club of Dhulikhel</t>
  </si>
  <si>
    <t>Rotary Club of New Road City</t>
  </si>
  <si>
    <t>Rotary Club of Rasuwa</t>
  </si>
  <si>
    <t>Rotary International District 3292</t>
  </si>
  <si>
    <t>RRN</t>
  </si>
  <si>
    <t>ShelterBox</t>
  </si>
  <si>
    <t>Rural Awareness and Development Organization</t>
  </si>
  <si>
    <t>SABAL</t>
  </si>
  <si>
    <t>SIF</t>
  </si>
  <si>
    <t>Sagarmatha International</t>
  </si>
  <si>
    <t>SAGUN</t>
  </si>
  <si>
    <t>SAHAS</t>
  </si>
  <si>
    <t>SAHAS NEPAL</t>
  </si>
  <si>
    <t>Salvation Army</t>
  </si>
  <si>
    <t>Samaritan purse</t>
  </si>
  <si>
    <t>Save the Children</t>
  </si>
  <si>
    <t>SEEDS</t>
  </si>
  <si>
    <t>Seismic Resistant Related Legal System</t>
  </si>
  <si>
    <t>SP</t>
  </si>
  <si>
    <t>Singapore Red Cross</t>
  </si>
  <si>
    <t>SLM/REDD Plus Coordinator</t>
  </si>
  <si>
    <t>Smart Shelter Foundation</t>
  </si>
  <si>
    <t>Sneha Krishnan</t>
  </si>
  <si>
    <t>Social Development Officer</t>
  </si>
  <si>
    <t>Society of Nepalese Architects</t>
  </si>
  <si>
    <t>Solidar Suisse</t>
  </si>
  <si>
    <t>SPO</t>
  </si>
  <si>
    <t>Tevel</t>
  </si>
  <si>
    <t>SPSWO</t>
  </si>
  <si>
    <t>SSICDC Gorkha</t>
  </si>
  <si>
    <t>Structural and Earthquake Engineering Research Institute</t>
  </si>
  <si>
    <t>Swiss Agency for Development and Cooperation</t>
  </si>
  <si>
    <t>Swiss Foundation for Technical Cooperation</t>
  </si>
  <si>
    <t>Swiss Red Cross</t>
  </si>
  <si>
    <t>Terre des hommes</t>
  </si>
  <si>
    <t>UNDAC</t>
  </si>
  <si>
    <t>The American Jewish Joint Distribution Committee</t>
  </si>
  <si>
    <t>The Fuller Center for Housing</t>
  </si>
  <si>
    <t>The Mobile Factory</t>
  </si>
  <si>
    <t>The Mountain Institute</t>
  </si>
  <si>
    <t>The Salvation Army</t>
  </si>
  <si>
    <t>Tono Magokoro Net</t>
  </si>
  <si>
    <t>Tuki Association</t>
  </si>
  <si>
    <t>Umbrella Organization Nepal</t>
  </si>
  <si>
    <t>UN-HABIBAT</t>
  </si>
  <si>
    <t>Unification Nepal</t>
  </si>
  <si>
    <t>UNRCO</t>
  </si>
  <si>
    <t>United Nations Children's Fund</t>
  </si>
  <si>
    <t>United Nations Development Programme</t>
  </si>
  <si>
    <t>USAID</t>
  </si>
  <si>
    <t>United Nations High Commissioner for Refugees</t>
  </si>
  <si>
    <t>United Nations Office for Project Services</t>
  </si>
  <si>
    <t>United Nations Office for the Coordination of Humanitarian Affairs</t>
  </si>
  <si>
    <t>United Nations Population Fund</t>
  </si>
  <si>
    <t>United Vision Nepal</t>
  </si>
  <si>
    <t>University of Western Australia</t>
  </si>
  <si>
    <t>UNWomen</t>
  </si>
  <si>
    <t>Usthi Foundation - SRDP Project</t>
  </si>
  <si>
    <t>Village Organization</t>
  </si>
  <si>
    <t>Volunteers Initiative nepal (VIN)</t>
  </si>
  <si>
    <t>VSO Nepal</t>
  </si>
  <si>
    <t>Wes 4 Christ</t>
  </si>
  <si>
    <t>Women Development Advocacy Center</t>
  </si>
  <si>
    <t>World Bank</t>
  </si>
  <si>
    <t>World Food Programme</t>
  </si>
  <si>
    <t>World Health Organization</t>
  </si>
  <si>
    <t>World Jewish Relief</t>
  </si>
  <si>
    <t>World Renew</t>
  </si>
  <si>
    <t>World Vision International</t>
  </si>
  <si>
    <t>WSSDO</t>
  </si>
  <si>
    <t>XPS International</t>
  </si>
  <si>
    <t>Yes I Will</t>
  </si>
  <si>
    <t>Young Star Club</t>
  </si>
  <si>
    <t>Youthspace Foundation Nepal</t>
  </si>
  <si>
    <t>YSP Nepal</t>
  </si>
  <si>
    <t>ZOA</t>
  </si>
  <si>
    <t>Activity List</t>
  </si>
  <si>
    <t>Architecture &amp; Development</t>
  </si>
  <si>
    <t>ACRONYM</t>
  </si>
  <si>
    <t>AAR-J</t>
  </si>
  <si>
    <t>ADRA</t>
  </si>
  <si>
    <t>ARC</t>
  </si>
  <si>
    <t>BATAS</t>
  </si>
  <si>
    <t>CARE</t>
  </si>
  <si>
    <t>CDRA</t>
  </si>
  <si>
    <t>CFN</t>
  </si>
  <si>
    <t>CA</t>
  </si>
  <si>
    <t>CuN</t>
  </si>
  <si>
    <t>CDS</t>
  </si>
  <si>
    <t>CW</t>
  </si>
  <si>
    <t>CORDAID</t>
  </si>
  <si>
    <t>DCA</t>
  </si>
  <si>
    <t>FSCN</t>
  </si>
  <si>
    <t>GC</t>
  </si>
  <si>
    <t>GNI</t>
  </si>
  <si>
    <t>HI</t>
  </si>
  <si>
    <t>HELVETAS</t>
  </si>
  <si>
    <t>IMC</t>
  </si>
  <si>
    <t>IOM</t>
  </si>
  <si>
    <t>IR</t>
  </si>
  <si>
    <t>Lumanti</t>
  </si>
  <si>
    <t>LWR</t>
  </si>
  <si>
    <t>MI</t>
  </si>
  <si>
    <t>MCC</t>
  </si>
  <si>
    <t>MC</t>
  </si>
  <si>
    <t>NN</t>
  </si>
  <si>
    <t>NRCS</t>
  </si>
  <si>
    <t>PIN</t>
  </si>
  <si>
    <t>PHASE</t>
  </si>
  <si>
    <t>PHA</t>
  </si>
  <si>
    <t>RR</t>
  </si>
  <si>
    <t>SA</t>
  </si>
  <si>
    <t>SC</t>
  </si>
  <si>
    <t>SB</t>
  </si>
  <si>
    <t>SDC</t>
  </si>
  <si>
    <t>TdH</t>
  </si>
  <si>
    <t>TSA</t>
  </si>
  <si>
    <t>TUKI</t>
  </si>
  <si>
    <t>UMN</t>
  </si>
  <si>
    <t>UNICEF</t>
  </si>
  <si>
    <t>UVN</t>
  </si>
  <si>
    <t>WDAC</t>
  </si>
  <si>
    <t>WFP</t>
  </si>
  <si>
    <t>WJR</t>
  </si>
  <si>
    <t>WR</t>
  </si>
  <si>
    <t>WVIN</t>
  </si>
  <si>
    <t>AL</t>
  </si>
  <si>
    <t>AA</t>
  </si>
  <si>
    <t>AH</t>
  </si>
  <si>
    <t>AHV</t>
  </si>
  <si>
    <t>AU</t>
  </si>
  <si>
    <t>AC</t>
  </si>
  <si>
    <t>AD</t>
  </si>
  <si>
    <t>AAA</t>
  </si>
  <si>
    <t>AWOI</t>
  </si>
  <si>
    <t>ADH</t>
  </si>
  <si>
    <t>ACTED</t>
  </si>
  <si>
    <t>ANSAB/RI</t>
  </si>
  <si>
    <t>ASB</t>
  </si>
  <si>
    <t>ASF</t>
  </si>
  <si>
    <t>ARSOW</t>
  </si>
  <si>
    <t>APAD</t>
  </si>
  <si>
    <t>AS-ASIA</t>
  </si>
  <si>
    <t>AYTHOS</t>
  </si>
  <si>
    <t>BRC-FLANDERS</t>
  </si>
  <si>
    <t>BKF</t>
  </si>
  <si>
    <t>BC</t>
  </si>
  <si>
    <t>CARITAS-N</t>
  </si>
  <si>
    <t>CARITAS-S</t>
  </si>
  <si>
    <t>CARITAS-G</t>
  </si>
  <si>
    <t>CARITAS-A</t>
  </si>
  <si>
    <t>CARE-F</t>
  </si>
  <si>
    <t>CMEA</t>
  </si>
  <si>
    <t>BDCC</t>
  </si>
  <si>
    <t>CRS</t>
  </si>
  <si>
    <t>CDF</t>
  </si>
  <si>
    <t>CDRA/C/GGC</t>
  </si>
  <si>
    <t>CHDP</t>
  </si>
  <si>
    <t>Center for Helpless and Disabled People</t>
  </si>
  <si>
    <t>CEAD</t>
  </si>
  <si>
    <t>CF</t>
  </si>
  <si>
    <t>CG</t>
  </si>
  <si>
    <t>CEN</t>
  </si>
  <si>
    <t>CC</t>
  </si>
  <si>
    <t>CSC</t>
  </si>
  <si>
    <t>CISCN</t>
  </si>
  <si>
    <t>Centre For International Studies And Cooperation Nepal</t>
  </si>
  <si>
    <t>CESVI</t>
  </si>
  <si>
    <t>CHESS</t>
  </si>
  <si>
    <t>CCC</t>
  </si>
  <si>
    <t>CMES</t>
  </si>
  <si>
    <t>YSP</t>
  </si>
  <si>
    <t>YFN</t>
  </si>
  <si>
    <t>YSC</t>
  </si>
  <si>
    <t>YIW</t>
  </si>
  <si>
    <t>XPSI</t>
  </si>
  <si>
    <t>WHO</t>
  </si>
  <si>
    <t>WB</t>
  </si>
  <si>
    <t>W4C</t>
  </si>
  <si>
    <t>VSO</t>
  </si>
  <si>
    <t>VIN</t>
  </si>
  <si>
    <t>VO</t>
  </si>
  <si>
    <t>UF-SRDP</t>
  </si>
  <si>
    <t>UNWOMEN</t>
  </si>
  <si>
    <t>UWA</t>
  </si>
  <si>
    <t>UNFPA</t>
  </si>
  <si>
    <t>UNOCHA</t>
  </si>
  <si>
    <t>UNOPS</t>
  </si>
  <si>
    <t>UNHCR</t>
  </si>
  <si>
    <t>UNDP</t>
  </si>
  <si>
    <t>UNIFICATION-N</t>
  </si>
  <si>
    <t>UNHABITAT</t>
  </si>
  <si>
    <t>TMN</t>
  </si>
  <si>
    <t>TMI</t>
  </si>
  <si>
    <t>TMF</t>
  </si>
  <si>
    <t>TAJJDC</t>
  </si>
  <si>
    <t>TFCH</t>
  </si>
  <si>
    <t>TEARFUND</t>
  </si>
  <si>
    <t>SS</t>
  </si>
  <si>
    <t>SFTC</t>
  </si>
  <si>
    <t>SEERI</t>
  </si>
  <si>
    <t>SSICDC</t>
  </si>
  <si>
    <t>SRRLS</t>
  </si>
  <si>
    <t>SPC</t>
  </si>
  <si>
    <t>SK</t>
  </si>
  <si>
    <t>SDO</t>
  </si>
  <si>
    <t>SNA</t>
  </si>
  <si>
    <t>Shelter Project Coordinator</t>
  </si>
  <si>
    <t>SLM/REDDPC</t>
  </si>
  <si>
    <t>SMF</t>
  </si>
  <si>
    <t>SOLIDARITES</t>
  </si>
  <si>
    <t>Solidarites International</t>
  </si>
  <si>
    <t>SAGARMATHA</t>
  </si>
  <si>
    <t>RADO</t>
  </si>
  <si>
    <t>Rural Development TUKI Association</t>
  </si>
  <si>
    <t>RDTA</t>
  </si>
  <si>
    <t>ROTARY-3292</t>
  </si>
  <si>
    <t>ROTARY-RASUWA</t>
  </si>
  <si>
    <t>ROTARY-NRC</t>
  </si>
  <si>
    <t>ROTARY-DHULIKHEL</t>
  </si>
  <si>
    <t>RCE</t>
  </si>
  <si>
    <t>RPI</t>
  </si>
  <si>
    <t>RI</t>
  </si>
  <si>
    <t>RELIEF ERU</t>
  </si>
  <si>
    <t>REDR-I</t>
  </si>
  <si>
    <t>NRCS/SRC</t>
  </si>
  <si>
    <t>DSSS</t>
  </si>
  <si>
    <t>DDRC</t>
  </si>
  <si>
    <t>DFID</t>
  </si>
  <si>
    <t>DFATD-C</t>
  </si>
  <si>
    <t>DKH</t>
  </si>
  <si>
    <t>DHN</t>
  </si>
  <si>
    <t>DCI</t>
  </si>
  <si>
    <t>DEO</t>
  </si>
  <si>
    <t>DPO</t>
  </si>
  <si>
    <t>DTO</t>
  </si>
  <si>
    <t>ECO-N</t>
  </si>
  <si>
    <t>EC</t>
  </si>
  <si>
    <t>NEfA</t>
  </si>
  <si>
    <t>EoI</t>
  </si>
  <si>
    <t>EA</t>
  </si>
  <si>
    <t>EMI</t>
  </si>
  <si>
    <t>EwB-USA</t>
  </si>
  <si>
    <t>EwB-GER</t>
  </si>
  <si>
    <t>ECCA</t>
  </si>
  <si>
    <t>ECHO</t>
  </si>
  <si>
    <t>FBPN</t>
  </si>
  <si>
    <t>FIDA-I</t>
  </si>
  <si>
    <t>FIU</t>
  </si>
  <si>
    <t>FDF</t>
  </si>
  <si>
    <t>FNA</t>
  </si>
  <si>
    <t>GRC</t>
  </si>
  <si>
    <t>GIZ</t>
  </si>
  <si>
    <t>GH</t>
  </si>
  <si>
    <t>GDA</t>
  </si>
  <si>
    <t>HFH</t>
  </si>
  <si>
    <t>HELP</t>
  </si>
  <si>
    <t>HELPAGE</t>
  </si>
  <si>
    <t>HURADEC</t>
  </si>
  <si>
    <t>HCI</t>
  </si>
  <si>
    <t>HHI</t>
  </si>
  <si>
    <t>HSS</t>
  </si>
  <si>
    <t>HUMEDICA</t>
  </si>
  <si>
    <t>INSAF</t>
  </si>
  <si>
    <t>REAL RELIEF</t>
  </si>
  <si>
    <t>QRC</t>
  </si>
  <si>
    <t>PM/AO</t>
  </si>
  <si>
    <t>PLAN</t>
  </si>
  <si>
    <t>Plan International - Nepal</t>
  </si>
  <si>
    <t>OM-N</t>
  </si>
  <si>
    <t>OXFAM-GB</t>
  </si>
  <si>
    <t>PJPC</t>
  </si>
  <si>
    <t>PWJ</t>
  </si>
  <si>
    <t>OFDA</t>
  </si>
  <si>
    <t>IDV</t>
  </si>
  <si>
    <t>IFRC</t>
  </si>
  <si>
    <t>JICA</t>
  </si>
  <si>
    <t>JP</t>
  </si>
  <si>
    <t>JRCS</t>
  </si>
  <si>
    <t>Japanese Red Cross Society</t>
  </si>
  <si>
    <t>JYSP</t>
  </si>
  <si>
    <t>KF</t>
  </si>
  <si>
    <t>KIT/CEDIM</t>
  </si>
  <si>
    <t>KW</t>
  </si>
  <si>
    <t>LRMC</t>
  </si>
  <si>
    <t>LDO</t>
  </si>
  <si>
    <t>LIG</t>
  </si>
  <si>
    <t>KIT/SAI</t>
  </si>
  <si>
    <t>LCD-SIN</t>
  </si>
  <si>
    <t>The Lutheran World Federation</t>
  </si>
  <si>
    <t>MCAP</t>
  </si>
  <si>
    <t>MEDAIR</t>
  </si>
  <si>
    <t>MEDICO-I</t>
  </si>
  <si>
    <t>MINERGY</t>
  </si>
  <si>
    <t>MSEREOR</t>
  </si>
  <si>
    <t>MissionEast</t>
  </si>
  <si>
    <t>MTS</t>
  </si>
  <si>
    <t>MSF-OCB</t>
  </si>
  <si>
    <t>NGOF</t>
  </si>
  <si>
    <t>NS</t>
  </si>
  <si>
    <t>NCA</t>
  </si>
  <si>
    <t>NC</t>
  </si>
  <si>
    <t>NCM</t>
  </si>
  <si>
    <t>ND</t>
  </si>
  <si>
    <t>NDS</t>
  </si>
  <si>
    <t>NDWA</t>
  </si>
  <si>
    <t>NR</t>
  </si>
  <si>
    <t>NYF</t>
  </si>
  <si>
    <t>NhA</t>
  </si>
  <si>
    <t>NfN</t>
  </si>
  <si>
    <t>NOR-RC</t>
  </si>
  <si>
    <t>NSET</t>
  </si>
  <si>
    <t>NYAYIK S</t>
  </si>
  <si>
    <t>PO</t>
  </si>
  <si>
    <t>Comments</t>
  </si>
  <si>
    <t>Curriculum</t>
  </si>
  <si>
    <t>CTEVT</t>
  </si>
  <si>
    <t>Self (Prepared and endorsed from DUDBC)</t>
  </si>
  <si>
    <t>Other (Please specify in comments)</t>
  </si>
  <si>
    <t>Activity_Curriculum</t>
  </si>
  <si>
    <t>Kavrepalanchok</t>
  </si>
  <si>
    <t>Makwanpur</t>
  </si>
  <si>
    <t>524 1 03 12</t>
  </si>
  <si>
    <t>Anantalingeshwor N.P.</t>
  </si>
  <si>
    <t>524 2 05 26 3 003</t>
  </si>
  <si>
    <t>524 2 05 26 3 004</t>
  </si>
  <si>
    <t>Changunarayan N.P.</t>
  </si>
  <si>
    <t>524 2 05 26 3 006</t>
  </si>
  <si>
    <t>Suryabinayak N.P.</t>
  </si>
  <si>
    <t>524 2 05 26 3 012</t>
  </si>
  <si>
    <t>MadhyapurThimi N.P.</t>
  </si>
  <si>
    <t>524 2 05 30 3 035</t>
  </si>
  <si>
    <t>Nilkantha N.P.</t>
  </si>
  <si>
    <t>524 2 04 22 3 004</t>
  </si>
  <si>
    <t>524 2 04 22 3 024</t>
  </si>
  <si>
    <t>Jiri N.P.</t>
  </si>
  <si>
    <t>Hansapur</t>
  </si>
  <si>
    <t>524 3 07 36 3 047</t>
  </si>
  <si>
    <t>Palumtar N.P.</t>
  </si>
  <si>
    <t>524 3 07 36 3 050</t>
  </si>
  <si>
    <t>Gorakha N.P.</t>
  </si>
  <si>
    <t>524 3 07 36 5 067</t>
  </si>
  <si>
    <t>524 2 05 27 3 001</t>
  </si>
  <si>
    <t>Kageshwori Manahara N.P.</t>
  </si>
  <si>
    <t>Chandragiri N.P.</t>
  </si>
  <si>
    <t>524 2 05 27 3 007</t>
  </si>
  <si>
    <t>Nagarjun N.P.</t>
  </si>
  <si>
    <t>524 2 05 27 3 015</t>
  </si>
  <si>
    <t>Daxinkali N.P.</t>
  </si>
  <si>
    <t>524 2 05 27 3 017</t>
  </si>
  <si>
    <t>Tarakeshwor N.P.</t>
  </si>
  <si>
    <t>524 2 05 27 3 020</t>
  </si>
  <si>
    <t>Gokarneswor N.P.</t>
  </si>
  <si>
    <t>524 2 05 27 1 031</t>
  </si>
  <si>
    <t>Kathmandu N.P.</t>
  </si>
  <si>
    <t>524 2 05 27 3 033</t>
  </si>
  <si>
    <t>524 2 05 27 3 058</t>
  </si>
  <si>
    <t>Tokha N.P.</t>
  </si>
  <si>
    <t>524 2 05 27 3 008</t>
  </si>
  <si>
    <t>Budanilkantha N.P.</t>
  </si>
  <si>
    <t>524 2 05 27 3 059</t>
  </si>
  <si>
    <t>524 2 05 24 3 006</t>
  </si>
  <si>
    <t>524 2 05 24 3 019</t>
  </si>
  <si>
    <t>524 2 05 24 3 023</t>
  </si>
  <si>
    <t>Falatebhumlu</t>
  </si>
  <si>
    <t>524 2 05 24 3 065</t>
  </si>
  <si>
    <t>524 2 05 24 3 066</t>
  </si>
  <si>
    <t>Panchkhal N.P.</t>
  </si>
  <si>
    <t>Salmechakala(Taldhu</t>
  </si>
  <si>
    <t>524 2 05 24 5 088</t>
  </si>
  <si>
    <t>524 2 05 24 5 089</t>
  </si>
  <si>
    <t>524 2 05 24 5 090</t>
  </si>
  <si>
    <t>524 2 05 25 3 007</t>
  </si>
  <si>
    <t>Karyabinayak N.P.</t>
  </si>
  <si>
    <t>524 2 05 25 3 009</t>
  </si>
  <si>
    <t>Bajrabarahi N.P.</t>
  </si>
  <si>
    <t>524 2 05 25 3 019</t>
  </si>
  <si>
    <t>Godawari N.P.</t>
  </si>
  <si>
    <t>524 2 05 25 3 023</t>
  </si>
  <si>
    <t>Mahalaxmi N.P.</t>
  </si>
  <si>
    <t>524 2 06 31 9 000</t>
  </si>
  <si>
    <t>Parsa Wildlife Reserve</t>
  </si>
  <si>
    <t>524 2 06 31 3 003</t>
  </si>
  <si>
    <t>Thaha N.P.</t>
  </si>
  <si>
    <t>524 2 06 31 2 020</t>
  </si>
  <si>
    <t>524 2 06 31 5 044</t>
  </si>
  <si>
    <t>524 2 05 28 3 008</t>
  </si>
  <si>
    <t>KholegaunKhanigau</t>
  </si>
  <si>
    <t>524 2 05 28 5 062</t>
  </si>
  <si>
    <t>524 1 03 12 3 001</t>
  </si>
  <si>
    <t>Siddhicharan N.P.</t>
  </si>
  <si>
    <t>524 1 03 12 5 002</t>
  </si>
  <si>
    <t>524 1 03 12 5 003</t>
  </si>
  <si>
    <t>524 1 03 12 5 005</t>
  </si>
  <si>
    <t>524 1 03 12 5 006</t>
  </si>
  <si>
    <t>524 1 03 12 5 007</t>
  </si>
  <si>
    <t>524 1 03 12 5 008</t>
  </si>
  <si>
    <t>524 1 03 12 5 009</t>
  </si>
  <si>
    <t>524 1 03 12 5 010</t>
  </si>
  <si>
    <t>524 1 03 12 5 011</t>
  </si>
  <si>
    <t>524 1 03 12 5 012</t>
  </si>
  <si>
    <t>524 1 03 12 5 013</t>
  </si>
  <si>
    <t>524 1 03 12 5 014</t>
  </si>
  <si>
    <t>524 1 03 12 5 015</t>
  </si>
  <si>
    <t>524 1 03 12 5 016</t>
  </si>
  <si>
    <t>524 1 03 12 5 017</t>
  </si>
  <si>
    <t>524 1 03 12 5 019</t>
  </si>
  <si>
    <t>524 1 03 12 5 020</t>
  </si>
  <si>
    <t>524 1 03 12 5 021</t>
  </si>
  <si>
    <t>524 1 03 12 5 022</t>
  </si>
  <si>
    <t>524 1 03 12 5 023</t>
  </si>
  <si>
    <t>524 1 03 12 5 024</t>
  </si>
  <si>
    <t>524 1 03 12 5 025</t>
  </si>
  <si>
    <t>524 1 03 12 5 026</t>
  </si>
  <si>
    <t>524 1 03 12 5 027</t>
  </si>
  <si>
    <t>524 1 03 12 5 028</t>
  </si>
  <si>
    <t>524 1 03 12 5 029</t>
  </si>
  <si>
    <t>524 1 03 12 5 030</t>
  </si>
  <si>
    <t>524 1 03 12 5 031</t>
  </si>
  <si>
    <t>524 1 03 12 5 032</t>
  </si>
  <si>
    <t>524 1 03 12 5 034</t>
  </si>
  <si>
    <t>524 1 03 12 5 035</t>
  </si>
  <si>
    <t>524 1 03 12 5 036</t>
  </si>
  <si>
    <t>524 1 03 12 5 037</t>
  </si>
  <si>
    <t>524 1 03 12 5 038</t>
  </si>
  <si>
    <t>524 1 03 12 5 039</t>
  </si>
  <si>
    <t>524 1 03 12 5 040</t>
  </si>
  <si>
    <t>524 1 03 12 5 041</t>
  </si>
  <si>
    <t>524 1 03 12 5 042</t>
  </si>
  <si>
    <t>524 1 03 12 5 043</t>
  </si>
  <si>
    <t>524 1 03 12 5 046</t>
  </si>
  <si>
    <t>524 1 03 12 5 047</t>
  </si>
  <si>
    <t>524 1 03 12 5 048</t>
  </si>
  <si>
    <t>524 1 03 12 5 049</t>
  </si>
  <si>
    <t>524 1 03 12 5 050</t>
  </si>
  <si>
    <t>524 1 03 12 5 051</t>
  </si>
  <si>
    <t>524 1 03 12 5 052</t>
  </si>
  <si>
    <t>524 1 03 12 5 053</t>
  </si>
  <si>
    <t>524 1 03 12 5 054</t>
  </si>
  <si>
    <t>524 1 03 12 5 055</t>
  </si>
  <si>
    <t>524 1 03 12 5 056</t>
  </si>
  <si>
    <t>524 2 04 21 3 035</t>
  </si>
  <si>
    <t>Manthali N.P.</t>
  </si>
  <si>
    <t>524 2 04 21 3 045</t>
  </si>
  <si>
    <t>Ramechhap N.P.</t>
  </si>
  <si>
    <t>524 2 04 20 3 015</t>
  </si>
  <si>
    <t>Dudhouli N.P.</t>
  </si>
  <si>
    <t>524 2 04 20 3 025</t>
  </si>
  <si>
    <t>Kamalami N.P.</t>
  </si>
  <si>
    <t>Khangsang</t>
  </si>
  <si>
    <t>524 2 04 20 5 054</t>
  </si>
  <si>
    <t>Bahrabise</t>
  </si>
  <si>
    <t>524 2 05 23 3 014</t>
  </si>
  <si>
    <t>Chautara N.P.</t>
  </si>
  <si>
    <t>Dhuyang</t>
  </si>
  <si>
    <t>Lagarche</t>
  </si>
  <si>
    <t>524 2 05 23 3 048</t>
  </si>
  <si>
    <t>Melamchi N.P.</t>
  </si>
  <si>
    <t>HRRP_VDC_Code</t>
  </si>
  <si>
    <t>ACF</t>
  </si>
  <si>
    <t>Action Contre La Faim</t>
  </si>
  <si>
    <t>BRAC</t>
  </si>
  <si>
    <t>Business Development and Consultancy Center</t>
  </si>
  <si>
    <t>Environment and Child Concern Organization</t>
  </si>
  <si>
    <t>ECCO</t>
  </si>
  <si>
    <t>Kam For Sud Nepal</t>
  </si>
  <si>
    <t>KFS-N</t>
  </si>
  <si>
    <t>Rotary International</t>
  </si>
  <si>
    <t>ROTARY</t>
  </si>
  <si>
    <t>Tearfund</t>
  </si>
  <si>
    <t>United Mission to Nepal</t>
  </si>
  <si>
    <t>Partner Organisation</t>
  </si>
  <si>
    <t>Acronym</t>
  </si>
  <si>
    <t>Australian Red Cross</t>
  </si>
  <si>
    <t>AussRC</t>
  </si>
  <si>
    <t>AustRC</t>
  </si>
  <si>
    <t>SingRC</t>
  </si>
  <si>
    <t>SwisRC</t>
  </si>
  <si>
    <t>UON</t>
  </si>
  <si>
    <t>Contact Number</t>
  </si>
  <si>
    <t>Kam For Sud</t>
  </si>
  <si>
    <t>KFS</t>
  </si>
  <si>
    <t>Samaritan Purse</t>
  </si>
  <si>
    <t>Swiss Solidarity</t>
  </si>
  <si>
    <t>ACT Alliance</t>
  </si>
  <si>
    <t>American Jewish Joint Distribution Committee</t>
  </si>
  <si>
    <t>BMZ/WHH</t>
  </si>
  <si>
    <t>Caritas</t>
  </si>
  <si>
    <t>CCDN</t>
  </si>
  <si>
    <t>Community for Energy and Ecology Development Forum</t>
  </si>
  <si>
    <t>Creasion Nepal</t>
  </si>
  <si>
    <t>DEC-II</t>
  </si>
  <si>
    <t>ECHO/JAPAN/NORWAY</t>
  </si>
  <si>
    <t>ERO</t>
  </si>
  <si>
    <t xml:space="preserve">Ford Nepal </t>
  </si>
  <si>
    <t>Ham Foundation</t>
  </si>
  <si>
    <t>Jhapa technical Institute</t>
  </si>
  <si>
    <t>Kosis  Nepal</t>
  </si>
  <si>
    <t>LACCoS</t>
  </si>
  <si>
    <t>Likhudemba Community Devlopment Forum</t>
  </si>
  <si>
    <t>Manakamana Training and Skill Development Institute</t>
  </si>
  <si>
    <t>Manekor Society Nepal</t>
  </si>
  <si>
    <t>Navjyoti Centre ( Nepal Nazareth Society)</t>
  </si>
  <si>
    <t>Nepal  Christian Relief Services</t>
  </si>
  <si>
    <t>Nepal Participatory Action Network</t>
  </si>
  <si>
    <t>Nepal Thai association and Rotary International District 3292</t>
  </si>
  <si>
    <t>Nepal Training Center</t>
  </si>
  <si>
    <t>Old People Association</t>
  </si>
  <si>
    <t>Pathibhara Himalayan Polytechnic Institute Pvt. Ltd.</t>
  </si>
  <si>
    <t>Pipaltar Community</t>
  </si>
  <si>
    <t>Plan International</t>
  </si>
  <si>
    <t>PLAN International Germany National Office</t>
  </si>
  <si>
    <t>PSD Nepal</t>
  </si>
  <si>
    <t>Rotary International District 3292 Nepal-Bhutan</t>
  </si>
  <si>
    <t>Ruler Development TUKI Association</t>
  </si>
  <si>
    <t>Rural Reconstruction Nepal</t>
  </si>
  <si>
    <t>Rural Self Reliance Development Center</t>
  </si>
  <si>
    <t>Shangrila Orphanage</t>
  </si>
  <si>
    <t>Shanti Jana Adarsha Sewa kendra</t>
  </si>
  <si>
    <t>SODEC Nepal</t>
  </si>
  <si>
    <t>TDH Germany, Caritas Italiana</t>
  </si>
  <si>
    <t>Tear Neatherland</t>
  </si>
  <si>
    <t>TRACE</t>
  </si>
  <si>
    <t>Usaid Sabal Nepal</t>
  </si>
  <si>
    <t>Nepal Thai Association</t>
  </si>
  <si>
    <t>AJJDC</t>
  </si>
  <si>
    <t>CARITAS</t>
  </si>
  <si>
    <t>CREASION</t>
  </si>
  <si>
    <t>FORD-N</t>
  </si>
  <si>
    <t>HAM FN</t>
  </si>
  <si>
    <t>JTI</t>
  </si>
  <si>
    <t>KOSIS-N</t>
  </si>
  <si>
    <t>LACCOS</t>
  </si>
  <si>
    <t>LCDF</t>
  </si>
  <si>
    <t>MTSDI</t>
  </si>
  <si>
    <t>MANEKOR</t>
  </si>
  <si>
    <t>NAVJYOTI</t>
  </si>
  <si>
    <t>NCRS</t>
  </si>
  <si>
    <t>NEPAN</t>
  </si>
  <si>
    <t>NTrC</t>
  </si>
  <si>
    <t>NRC</t>
  </si>
  <si>
    <t>OPA</t>
  </si>
  <si>
    <t>PHPI</t>
  </si>
  <si>
    <t>PIPALTAR</t>
  </si>
  <si>
    <t>PLAN-GER</t>
  </si>
  <si>
    <t>PSD-N</t>
  </si>
  <si>
    <t>RSDC</t>
  </si>
  <si>
    <t>SHANGRILA ORP</t>
  </si>
  <si>
    <t>SJASK</t>
  </si>
  <si>
    <t>SODEC-N</t>
  </si>
  <si>
    <t>TEAR-NET</t>
  </si>
  <si>
    <t>USAID-SABAL</t>
  </si>
  <si>
    <t>NTA</t>
  </si>
  <si>
    <t>Shankarapur N.P.</t>
  </si>
  <si>
    <t>ICCO</t>
  </si>
  <si>
    <t>ICCO Cooperation</t>
  </si>
  <si>
    <t>ACN</t>
  </si>
  <si>
    <t>Asal Chhimekee Nepal</t>
  </si>
  <si>
    <t>MANK</t>
  </si>
  <si>
    <t>Mahila Atma Nirvarta Kendra</t>
  </si>
  <si>
    <t>NJS</t>
  </si>
  <si>
    <t>TdH-GER</t>
  </si>
  <si>
    <t>Terre des hommes - Germany</t>
  </si>
  <si>
    <t>ARSOW/ASF</t>
  </si>
  <si>
    <t>CSRC</t>
  </si>
  <si>
    <t>ENPHO</t>
  </si>
  <si>
    <t>Environment and Public Health Organization</t>
  </si>
  <si>
    <t>TCM</t>
  </si>
  <si>
    <t>PA</t>
  </si>
  <si>
    <t>Practical Action</t>
  </si>
  <si>
    <t>GCF Global-USA</t>
  </si>
  <si>
    <t>GCF Global-U</t>
  </si>
  <si>
    <t>Council for Technical Education and Vocational Training</t>
  </si>
  <si>
    <t>BRC</t>
  </si>
  <si>
    <t>British Red Cross</t>
  </si>
  <si>
    <t>DRC</t>
  </si>
  <si>
    <t>Danish Red Cross</t>
  </si>
  <si>
    <t>SRC</t>
  </si>
  <si>
    <t>B-GRC</t>
  </si>
  <si>
    <t>Belgian-German RC</t>
  </si>
  <si>
    <t>NTA-ROTARY</t>
  </si>
  <si>
    <t>ROTARY-BHU</t>
  </si>
  <si>
    <t>TCN</t>
  </si>
  <si>
    <t>Training center Nepal</t>
  </si>
  <si>
    <t>524 2 05 25 2 027</t>
  </si>
  <si>
    <t>Hetauda U.M.N.P.</t>
  </si>
  <si>
    <t>Lalitpur U.M.N.P.</t>
  </si>
  <si>
    <t>GON</t>
  </si>
  <si>
    <t>Nagarkot N.P.</t>
  </si>
  <si>
    <t>Dapcha Kashikhand N.P.</t>
  </si>
  <si>
    <t>SCI</t>
  </si>
  <si>
    <t>CARE-N</t>
  </si>
  <si>
    <t>ANSAB-RI</t>
  </si>
  <si>
    <t>ARSOW-ASF</t>
  </si>
  <si>
    <t>BMZ-WHH</t>
  </si>
  <si>
    <t>CDRA-C-GGC</t>
  </si>
  <si>
    <t>CWIN-TUKI</t>
  </si>
  <si>
    <t>ECHO-JAP-NOR</t>
  </si>
  <si>
    <t>KIT-CEDIM</t>
  </si>
  <si>
    <t>KIT-SAI</t>
  </si>
  <si>
    <t>PM-AO</t>
  </si>
  <si>
    <t>RD-TA</t>
  </si>
  <si>
    <t>SLM-REDDPC</t>
  </si>
  <si>
    <t>TDH-GER-CARITAS-ITA</t>
  </si>
  <si>
    <t>Government of Nepal</t>
  </si>
  <si>
    <t>ITDSN</t>
  </si>
  <si>
    <t xml:space="preserve"> Integrated Tadi Development Society Nepal</t>
  </si>
  <si>
    <t>VDC/Municipality</t>
  </si>
  <si>
    <t>Start Date</t>
  </si>
  <si>
    <t>End Date</t>
  </si>
  <si>
    <t>Training Type</t>
  </si>
  <si>
    <t>Citizenship No.</t>
  </si>
  <si>
    <t>Full Name</t>
  </si>
  <si>
    <t>Age</t>
  </si>
  <si>
    <t>Sex</t>
  </si>
  <si>
    <t>Experience</t>
  </si>
  <si>
    <t>Male</t>
  </si>
  <si>
    <t>Female</t>
  </si>
  <si>
    <t>Short training-Electrician</t>
  </si>
  <si>
    <t>Short training-Mason</t>
  </si>
  <si>
    <t>Short training-Carpenter</t>
  </si>
  <si>
    <t>Short training-Plumber</t>
  </si>
  <si>
    <t>Vocational training-Mason</t>
  </si>
  <si>
    <t>Vocational training-Carpenter</t>
  </si>
  <si>
    <t>Vocational training-Electrician</t>
  </si>
  <si>
    <t>Vocational training-Plumber</t>
  </si>
  <si>
    <t>Other (Please specify in comment)</t>
  </si>
  <si>
    <t>Implementing Partner</t>
  </si>
  <si>
    <t>Gender</t>
  </si>
  <si>
    <t>Short training-Engineers, Sub-engineers</t>
  </si>
  <si>
    <t>Short training-Bar bender</t>
  </si>
  <si>
    <t>Short training-Social Mobilizer/ BBS messaging</t>
  </si>
  <si>
    <t>Short training-Retrofitting training for engineers, sub-engineers</t>
  </si>
  <si>
    <t>Short training-Retrofitting training for skilled construction workers</t>
  </si>
  <si>
    <t>Vocational training-Bar bender</t>
  </si>
  <si>
    <t>ToT-ToT for skilled construction workers</t>
  </si>
  <si>
    <t>ToT-ToT for Social Mobilizer/BBS messaging</t>
  </si>
  <si>
    <t>ToT-ToT for Engineers, Sub-engineers</t>
  </si>
  <si>
    <t>Address (Village Name)</t>
  </si>
  <si>
    <t>Academic Qualification</t>
  </si>
  <si>
    <t>Caste</t>
  </si>
  <si>
    <t>Donor</t>
  </si>
  <si>
    <t>Grand Total</t>
  </si>
  <si>
    <t>SN</t>
  </si>
  <si>
    <t>Trained</t>
  </si>
  <si>
    <t>SLICER</t>
  </si>
  <si>
    <t>1. Click on the field name to filter the pivot tables by the selected option</t>
  </si>
  <si>
    <t>2. Please click on the sign (        ) to clear the filter</t>
  </si>
  <si>
    <t>Age_Class</t>
  </si>
  <si>
    <t>VDC Detail</t>
  </si>
  <si>
    <t>Gender-wise Detail</t>
  </si>
  <si>
    <t>Organisation-wise Detail</t>
  </si>
  <si>
    <t>XYZ</t>
  </si>
  <si>
    <t>10324/2032</t>
  </si>
  <si>
    <t>Ram Bahadur Khatri</t>
  </si>
  <si>
    <t>Brahman</t>
  </si>
  <si>
    <t>10324/2034</t>
  </si>
  <si>
    <t>Academic_Qualifications</t>
  </si>
  <si>
    <t>Primary (Class 5 or below)</t>
  </si>
  <si>
    <t>Illiterate</t>
  </si>
  <si>
    <t>Lower Secondary (Class 6-8)</t>
  </si>
  <si>
    <t>Secondary (Class 9-10)</t>
  </si>
  <si>
    <t>Higher Secondary (Class 11-12)</t>
  </si>
  <si>
    <t>Bachelors</t>
  </si>
  <si>
    <t>Masters</t>
  </si>
  <si>
    <t>Hari Maya Shrestha</t>
  </si>
  <si>
    <t>Gurung</t>
  </si>
  <si>
    <t>Newar</t>
  </si>
  <si>
    <t>Ram Bahadur Gurung</t>
  </si>
  <si>
    <t>10324/2036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</si>
</sst>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5" x14ac:knownFonts="1">
    <font>
      <sz val="11"/>
      <color theme="1"/>
      <name val="Calibri"/>
      <family val="2"/>
      <scheme val="minor"/>
    </font>
    <font>
      <b/>
      <sz val="11"/>
      <color theme="0"/>
      <name val="Calibri"/>
      <family val="2"/>
      <scheme val="minor"/>
    </font>
    <font>
      <sz val="11"/>
      <color rgb="FFFF0000"/>
      <name val="Calibri"/>
      <family val="2"/>
      <scheme val="minor"/>
    </font>
    <font>
      <sz val="11"/>
      <color theme="1"/>
      <name val="Calibri"/>
      <scheme val="minor"/>
    </font>
    <font>
      <b/>
      <sz val="11"/>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7" tint="0.59999389629810485"/>
        <bgColor indexed="64"/>
      </patternFill>
    </fill>
    <fill>
      <patternFill patternType="solid">
        <fgColor rgb="FF0070C0"/>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3">
    <xf numFmtId="0" fontId="0" fillId="0" borderId="0" xfId="0"/>
    <xf numFmtId="0" fontId="1" fillId="2" borderId="0" xfId="0" applyFont="1" applyFill="1"/>
    <xf numFmtId="0" fontId="1" fillId="3" borderId="0" xfId="0" applyFont="1" applyFill="1"/>
    <xf numFmtId="0" fontId="0" fillId="3" borderId="0" xfId="0" applyFill="1"/>
    <xf numFmtId="0" fontId="1" fillId="0" borderId="0" xfId="0" applyFont="1" applyFill="1"/>
    <xf numFmtId="0" fontId="0" fillId="0" borderId="0" xfId="0" applyFill="1"/>
    <xf numFmtId="0" fontId="0" fillId="0" borderId="0" xfId="0" applyFill="1" applyAlignment="1">
      <alignment horizontal="center" wrapText="1"/>
    </xf>
    <xf numFmtId="0" fontId="0" fillId="0" borderId="0" xfId="0" applyNumberFormat="1"/>
    <xf numFmtId="0" fontId="0" fillId="0" borderId="0" xfId="0" applyFont="1" applyFill="1"/>
    <xf numFmtId="0" fontId="0" fillId="0" borderId="0" xfId="0" pivotButton="1"/>
    <xf numFmtId="0" fontId="0" fillId="0" borderId="0" xfId="0" applyAlignment="1">
      <alignment horizontal="left"/>
    </xf>
    <xf numFmtId="0" fontId="2" fillId="0" borderId="0" xfId="0" applyFont="1"/>
    <xf numFmtId="0" fontId="0" fillId="5" borderId="0" xfId="0" applyFill="1"/>
    <xf numFmtId="0" fontId="0" fillId="0" borderId="0" xfId="0" applyNumberFormat="1" applyFont="1"/>
    <xf numFmtId="0" fontId="0" fillId="0" borderId="0" xfId="0" applyFont="1"/>
    <xf numFmtId="49" fontId="0" fillId="0" borderId="0" xfId="0" applyNumberFormat="1" applyFont="1"/>
    <xf numFmtId="0" fontId="3" fillId="0" borderId="0" xfId="0" applyNumberFormat="1" applyFont="1"/>
    <xf numFmtId="0" fontId="3" fillId="0" borderId="0" xfId="0" applyFont="1"/>
    <xf numFmtId="49" fontId="3" fillId="0" borderId="0" xfId="0" applyNumberFormat="1" applyFont="1"/>
    <xf numFmtId="164" fontId="3" fillId="0" borderId="0" xfId="0" applyNumberFormat="1" applyFont="1"/>
    <xf numFmtId="2" fontId="3" fillId="0" borderId="0" xfId="0" applyNumberFormat="1" applyFont="1"/>
    <xf numFmtId="0" fontId="0" fillId="6" borderId="0" xfId="0" applyFont="1" applyFill="1"/>
    <xf numFmtId="0" fontId="0" fillId="6" borderId="0" xfId="0" applyNumberFormat="1" applyFont="1" applyFill="1"/>
    <xf numFmtId="49" fontId="0" fillId="6" borderId="0" xfId="0" applyNumberFormat="1" applyFont="1" applyFill="1"/>
    <xf numFmtId="164" fontId="0" fillId="6" borderId="0" xfId="0" applyNumberFormat="1" applyFont="1" applyFill="1"/>
    <xf numFmtId="2" fontId="0" fillId="6" borderId="0" xfId="0" applyNumberFormat="1" applyFont="1" applyFill="1"/>
    <xf numFmtId="0" fontId="3" fillId="6" borderId="0" xfId="0" applyFont="1" applyFill="1"/>
    <xf numFmtId="164" fontId="3" fillId="6" borderId="0" xfId="0" applyNumberFormat="1" applyFont="1" applyFill="1"/>
    <xf numFmtId="2" fontId="3" fillId="6" borderId="0" xfId="0" applyNumberFormat="1" applyFont="1" applyFill="1"/>
    <xf numFmtId="0" fontId="0" fillId="4" borderId="0" xfId="0" applyFill="1"/>
    <xf numFmtId="0" fontId="4" fillId="0" borderId="0" xfId="0" applyFont="1"/>
    <xf numFmtId="0" fontId="1" fillId="4" borderId="0" xfId="0" applyFont="1" applyFill="1" applyAlignment="1">
      <alignment horizontal="center" vertical="center"/>
    </xf>
    <xf numFmtId="0" fontId="1" fillId="4" borderId="0" xfId="0" applyFont="1" applyFill="1" applyAlignment="1">
      <alignment horizontal="center"/>
    </xf>
  </cellXfs>
  <cellStyles count="1">
    <cellStyle name="Normal" xfId="0" builtinId="0"/>
  </cellStyles>
  <dxfs count="34">
    <dxf>
      <font>
        <strike val="0"/>
        <outline val="0"/>
        <shadow val="0"/>
        <u val="none"/>
        <vertAlign val="baseline"/>
        <sz val="11"/>
        <color theme="1"/>
        <name val="Calibri"/>
        <scheme val="minor"/>
      </font>
      <numFmt numFmtId="0" formatCode="General"/>
    </dxf>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numFmt numFmtId="2" formatCode="0.00"/>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numFmt numFmtId="30" formatCode="@"/>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numFmt numFmtId="164" formatCode="[$-409]d\-mmm\-yy;@"/>
    </dxf>
    <dxf>
      <font>
        <strike val="0"/>
        <outline val="0"/>
        <shadow val="0"/>
        <u val="none"/>
        <vertAlign val="baseline"/>
        <sz val="11"/>
        <color theme="1"/>
        <name val="Calibri"/>
        <scheme val="minor"/>
      </font>
      <numFmt numFmtId="164" formatCode="[$-409]d\-mmm\-yy;@"/>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numFmt numFmtId="30" formatCode="@"/>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dxf>
    <dxf>
      <fill>
        <patternFill patternType="none">
          <fgColor indexed="64"/>
          <bgColor auto="1"/>
        </patternFill>
      </fill>
      <alignment horizontal="center" vertical="bottom" textRotation="0" wrapText="1" indent="0" justifyLastLine="0" shrinkToFit="0" readingOrder="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0F5B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xdr:row>
      <xdr:rowOff>28575</xdr:rowOff>
    </xdr:from>
    <xdr:to>
      <xdr:col>12</xdr:col>
      <xdr:colOff>0</xdr:colOff>
      <xdr:row>49</xdr:row>
      <xdr:rowOff>69285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219075"/>
          <a:ext cx="7200900" cy="9184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50</xdr:row>
      <xdr:rowOff>57148</xdr:rowOff>
    </xdr:from>
    <xdr:to>
      <xdr:col>12</xdr:col>
      <xdr:colOff>9525</xdr:colOff>
      <xdr:row>101</xdr:row>
      <xdr:rowOff>17781</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975" y="9582148"/>
          <a:ext cx="7143750" cy="9676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190500</xdr:colOff>
      <xdr:row>73</xdr:row>
      <xdr:rowOff>114299</xdr:rowOff>
    </xdr:from>
    <xdr:to>
      <xdr:col>3</xdr:col>
      <xdr:colOff>247650</xdr:colOff>
      <xdr:row>79</xdr:row>
      <xdr:rowOff>142875</xdr:rowOff>
    </xdr:to>
    <xdr:sp macro="" textlink="">
      <xdr:nvSpPr>
        <xdr:cNvPr id="2" name="TextBox 1"/>
        <xdr:cNvSpPr txBox="1"/>
      </xdr:nvSpPr>
      <xdr:spPr>
        <a:xfrm>
          <a:off x="190500" y="14020799"/>
          <a:ext cx="1885950" cy="117157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After you go update</a:t>
          </a:r>
          <a:r>
            <a:rPr lang="en-US" sz="1100" baseline="0"/>
            <a:t> the data in </a:t>
          </a:r>
          <a:r>
            <a:rPr lang="en-US" sz="1100" b="1" baseline="0"/>
            <a:t>Training_DB:</a:t>
          </a:r>
        </a:p>
        <a:p>
          <a:endParaRPr lang="en-US" sz="1100" b="1" baseline="0"/>
        </a:p>
        <a:p>
          <a:r>
            <a:rPr lang="en-US" sz="1100" b="0" baseline="0"/>
            <a:t>1. Go to </a:t>
          </a:r>
          <a:r>
            <a:rPr lang="en-US" sz="1100" b="1" baseline="0"/>
            <a:t>DATA</a:t>
          </a:r>
        </a:p>
        <a:p>
          <a:r>
            <a:rPr lang="en-US" sz="1100" b="0" baseline="0"/>
            <a:t>2. Click on </a:t>
          </a:r>
          <a:r>
            <a:rPr lang="en-US" sz="1100" b="1" baseline="0">
              <a:solidFill>
                <a:srgbClr val="FF0000"/>
              </a:solidFill>
            </a:rPr>
            <a:t>Refresh All</a:t>
          </a:r>
          <a:endParaRPr lang="en-US" sz="11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22</xdr:row>
      <xdr:rowOff>171451</xdr:rowOff>
    </xdr:from>
    <xdr:to>
      <xdr:col>1</xdr:col>
      <xdr:colOff>9525</xdr:colOff>
      <xdr:row>36</xdr:row>
      <xdr:rowOff>104775</xdr:rowOff>
    </xdr:to>
    <mc:AlternateContent xmlns:mc="http://schemas.openxmlformats.org/markup-compatibility/2006" xmlns:a14="http://schemas.microsoft.com/office/drawing/2010/main">
      <mc:Choice Requires="a14">
        <xdr:graphicFrame macro="">
          <xdr:nvGraphicFramePr>
            <xdr:cNvPr id="2" name="Partner Organisation"/>
            <xdr:cNvGraphicFramePr/>
          </xdr:nvGraphicFramePr>
          <xdr:xfrm>
            <a:off x="0" y="0"/>
            <a:ext cx="0" cy="0"/>
          </xdr:xfrm>
          <a:graphic>
            <a:graphicData uri="http://schemas.microsoft.com/office/drawing/2010/slicer">
              <sle:slicer xmlns:sle="http://schemas.microsoft.com/office/drawing/2010/slicer" name="Partner Organisation"/>
            </a:graphicData>
          </a:graphic>
        </xdr:graphicFrame>
      </mc:Choice>
      <mc:Fallback xmlns="">
        <xdr:sp macro="" textlink="">
          <xdr:nvSpPr>
            <xdr:cNvPr id="0" name=""/>
            <xdr:cNvSpPr>
              <a:spLocks noTextEdit="1"/>
            </xdr:cNvSpPr>
          </xdr:nvSpPr>
          <xdr:spPr>
            <a:xfrm>
              <a:off x="9525" y="4362451"/>
              <a:ext cx="2171700" cy="2600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xdr:row>
      <xdr:rowOff>19050</xdr:rowOff>
    </xdr:from>
    <xdr:to>
      <xdr:col>1</xdr:col>
      <xdr:colOff>0</xdr:colOff>
      <xdr:row>9</xdr:row>
      <xdr:rowOff>9525</xdr:rowOff>
    </xdr:to>
    <mc:AlternateContent xmlns:mc="http://schemas.openxmlformats.org/markup-compatibility/2006" xmlns:a14="http://schemas.microsoft.com/office/drawing/2010/main">
      <mc:Choice Requires="a14">
        <xdr:graphicFrame macro="">
          <xdr:nvGraphicFramePr>
            <xdr:cNvPr id="4" name="Training Type"/>
            <xdr:cNvGraphicFramePr/>
          </xdr:nvGraphicFramePr>
          <xdr:xfrm>
            <a:off x="0" y="0"/>
            <a:ext cx="0" cy="0"/>
          </xdr:xfrm>
          <a:graphic>
            <a:graphicData uri="http://schemas.microsoft.com/office/drawing/2010/slicer">
              <sle:slicer xmlns:sle="http://schemas.microsoft.com/office/drawing/2010/slicer" name="Training Type"/>
            </a:graphicData>
          </a:graphic>
        </xdr:graphicFrame>
      </mc:Choice>
      <mc:Fallback xmlns="">
        <xdr:sp macro="" textlink="">
          <xdr:nvSpPr>
            <xdr:cNvPr id="0" name=""/>
            <xdr:cNvSpPr>
              <a:spLocks noTextEdit="1"/>
            </xdr:cNvSpPr>
          </xdr:nvSpPr>
          <xdr:spPr>
            <a:xfrm>
              <a:off x="9525" y="209550"/>
              <a:ext cx="215265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9</xdr:row>
      <xdr:rowOff>104774</xdr:rowOff>
    </xdr:from>
    <xdr:to>
      <xdr:col>1</xdr:col>
      <xdr:colOff>0</xdr:colOff>
      <xdr:row>16</xdr:row>
      <xdr:rowOff>19049</xdr:rowOff>
    </xdr:to>
    <mc:AlternateContent xmlns:mc="http://schemas.openxmlformats.org/markup-compatibility/2006" xmlns:a14="http://schemas.microsoft.com/office/drawing/2010/main">
      <mc:Choice Requires="a14">
        <xdr:graphicFrame macro="">
          <xdr:nvGraphicFramePr>
            <xdr:cNvPr id="5" name="Curriculum"/>
            <xdr:cNvGraphicFramePr/>
          </xdr:nvGraphicFramePr>
          <xdr:xfrm>
            <a:off x="0" y="0"/>
            <a:ext cx="0" cy="0"/>
          </xdr:xfrm>
          <a:graphic>
            <a:graphicData uri="http://schemas.microsoft.com/office/drawing/2010/slicer">
              <sle:slicer xmlns:sle="http://schemas.microsoft.com/office/drawing/2010/slicer" name="Curriculum"/>
            </a:graphicData>
          </a:graphic>
        </xdr:graphicFrame>
      </mc:Choice>
      <mc:Fallback xmlns="">
        <xdr:sp macro="" textlink="">
          <xdr:nvSpPr>
            <xdr:cNvPr id="0" name=""/>
            <xdr:cNvSpPr>
              <a:spLocks noTextEdit="1"/>
            </xdr:cNvSpPr>
          </xdr:nvSpPr>
          <xdr:spPr>
            <a:xfrm>
              <a:off x="9525" y="1819275"/>
              <a:ext cx="216217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1619250</xdr:colOff>
      <xdr:row>1</xdr:row>
      <xdr:rowOff>19051</xdr:rowOff>
    </xdr:from>
    <xdr:to>
      <xdr:col>1</xdr:col>
      <xdr:colOff>1807029</xdr:colOff>
      <xdr:row>1</xdr:row>
      <xdr:rowOff>190501</xdr:rowOff>
    </xdr:to>
    <xdr:pic>
      <xdr:nvPicPr>
        <xdr:cNvPr id="6"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90950" y="209551"/>
          <a:ext cx="187779" cy="171450"/>
        </a:xfrm>
        <a:prstGeom prst="rect">
          <a:avLst/>
        </a:prstGeom>
      </xdr:spPr>
    </xdr:pic>
    <xdr:clientData/>
  </xdr:twoCellAnchor>
  <xdr:twoCellAnchor editAs="oneCell">
    <xdr:from>
      <xdr:col>0</xdr:col>
      <xdr:colOff>9525</xdr:colOff>
      <xdr:row>16</xdr:row>
      <xdr:rowOff>66675</xdr:rowOff>
    </xdr:from>
    <xdr:to>
      <xdr:col>0</xdr:col>
      <xdr:colOff>2171699</xdr:colOff>
      <xdr:row>22</xdr:row>
      <xdr:rowOff>133349</xdr:rowOff>
    </xdr:to>
    <mc:AlternateContent xmlns:mc="http://schemas.openxmlformats.org/markup-compatibility/2006" xmlns:a14="http://schemas.microsoft.com/office/drawing/2010/main">
      <mc:Choice Requires="a14">
        <xdr:graphicFrame macro="">
          <xdr:nvGraphicFramePr>
            <xdr:cNvPr id="9" name="Age_Class"/>
            <xdr:cNvGraphicFramePr/>
          </xdr:nvGraphicFramePr>
          <xdr:xfrm>
            <a:off x="0" y="0"/>
            <a:ext cx="0" cy="0"/>
          </xdr:xfrm>
          <a:graphic>
            <a:graphicData uri="http://schemas.microsoft.com/office/drawing/2010/slicer">
              <sle:slicer xmlns:sle="http://schemas.microsoft.com/office/drawing/2010/slicer" name="Age_Class"/>
            </a:graphicData>
          </a:graphic>
        </xdr:graphicFrame>
      </mc:Choice>
      <mc:Fallback xmlns="">
        <xdr:sp macro="" textlink="">
          <xdr:nvSpPr>
            <xdr:cNvPr id="0" name=""/>
            <xdr:cNvSpPr>
              <a:spLocks noTextEdit="1"/>
            </xdr:cNvSpPr>
          </xdr:nvSpPr>
          <xdr:spPr>
            <a:xfrm>
              <a:off x="9525" y="2781300"/>
              <a:ext cx="2162174" cy="1543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609599</xdr:colOff>
      <xdr:row>0</xdr:row>
      <xdr:rowOff>0</xdr:rowOff>
    </xdr:from>
    <xdr:to>
      <xdr:col>7</xdr:col>
      <xdr:colOff>504825</xdr:colOff>
      <xdr:row>1</xdr:row>
      <xdr:rowOff>257176</xdr:rowOff>
    </xdr:to>
    <xdr:sp macro="" textlink="">
      <xdr:nvSpPr>
        <xdr:cNvPr id="7" name="TextBox 6"/>
        <xdr:cNvSpPr txBox="1"/>
      </xdr:nvSpPr>
      <xdr:spPr>
        <a:xfrm>
          <a:off x="7248524" y="0"/>
          <a:ext cx="4457701" cy="61912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After you go update</a:t>
          </a:r>
          <a:r>
            <a:rPr lang="en-US" sz="1050" baseline="0"/>
            <a:t> the data in </a:t>
          </a:r>
          <a:r>
            <a:rPr lang="en-US" sz="1050" b="1" baseline="0"/>
            <a:t>Training_DB:</a:t>
          </a:r>
        </a:p>
        <a:p>
          <a:pPr algn="l"/>
          <a:r>
            <a:rPr lang="en-US" sz="1050" b="0" baseline="0"/>
            <a:t>	1. Go to </a:t>
          </a:r>
          <a:r>
            <a:rPr lang="en-US" sz="1050" b="1" baseline="0"/>
            <a:t>DATA</a:t>
          </a:r>
        </a:p>
        <a:p>
          <a:r>
            <a:rPr lang="en-US" sz="1050" b="0" baseline="0"/>
            <a:t>	2. Click on </a:t>
          </a:r>
          <a:r>
            <a:rPr lang="en-US" sz="1050" b="1" baseline="0">
              <a:solidFill>
                <a:srgbClr val="FF0000"/>
              </a:solidFill>
            </a:rPr>
            <a:t>Refresh All</a:t>
          </a:r>
          <a:endParaRPr lang="en-US" sz="1050" b="1">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0</xdr:row>
      <xdr:rowOff>9525</xdr:rowOff>
    </xdr:from>
    <xdr:to>
      <xdr:col>19</xdr:col>
      <xdr:colOff>847725</xdr:colOff>
      <xdr:row>0</xdr:row>
      <xdr:rowOff>261937</xdr:rowOff>
    </xdr:to>
    <xdr:sp macro="" textlink="">
      <xdr:nvSpPr>
        <xdr:cNvPr id="2" name="TextBox 1"/>
        <xdr:cNvSpPr txBox="1"/>
      </xdr:nvSpPr>
      <xdr:spPr>
        <a:xfrm>
          <a:off x="9941719" y="9525"/>
          <a:ext cx="8348662" cy="252412"/>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TRAINEE DETAILS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PRADHAN Gaurab" refreshedDate="42563.561864467592" createdVersion="5" refreshedVersion="5" minRefreshableVersion="3" recordCount="39">
  <cacheSource type="worksheet">
    <worksheetSource name="Table1"/>
  </cacheSource>
  <cacheFields count="23">
    <cacheField name="SN" numFmtId="0">
      <sharedItems containsMixedTypes="1" containsNumber="1" containsInteger="1" minValue="1" maxValue="3"/>
    </cacheField>
    <cacheField name="District" numFmtId="0">
      <sharedItems containsBlank="1"/>
    </cacheField>
    <cacheField name="VDC/Municipality" numFmtId="0">
      <sharedItems containsBlank="1" count="16">
        <s v="Aginchok"/>
        <s v="Baseri"/>
        <m/>
        <s v="Budhathum" u="1"/>
        <s v="Ghyalchok" u="1"/>
        <s v="Dhuwakot" u="1"/>
        <s v="Makaising" u="1"/>
        <s v="Simjung" u="1"/>
        <s v="Warpak" u="1"/>
        <s v="Bunkot" u="1"/>
        <s v="Tanglichok" u="1"/>
        <s v="Chainpur" u="1"/>
        <s v="Dhawa" u="1"/>
        <s v="Taple" u="1"/>
        <s v="Saurpani" u="1"/>
        <s v="Baguwa" u="1"/>
      </sharedItems>
    </cacheField>
    <cacheField name="Ward" numFmtId="0">
      <sharedItems containsString="0" containsBlank="1" containsNumber="1" containsInteger="1" minValue="1" maxValue="1"/>
    </cacheField>
    <cacheField name="Address (Village Name)" numFmtId="0">
      <sharedItems containsBlank="1"/>
    </cacheField>
    <cacheField name="Partner Organisation" numFmtId="49">
      <sharedItems containsBlank="1" count="8">
        <s v="ACTED"/>
        <m/>
        <s v="CRS" u="1"/>
        <s v="CuN" u="1"/>
        <s v="DCA" u="1"/>
        <s v="ECO-N" u="1"/>
        <s v="CSRC" u="1"/>
        <s v="JICA" u="1"/>
      </sharedItems>
    </cacheField>
    <cacheField name="Implementing Partner" numFmtId="0">
      <sharedItems containsBlank="1"/>
    </cacheField>
    <cacheField name="Donor" numFmtId="0">
      <sharedItems containsBlank="1"/>
    </cacheField>
    <cacheField name="Training Type" numFmtId="0">
      <sharedItems containsBlank="1" count="5">
        <s v="Short training-Mason"/>
        <s v="Short training-Electrician"/>
        <s v="Vocational training-Mason"/>
        <m/>
        <s v="Other (Please specify in comment)" u="1"/>
      </sharedItems>
    </cacheField>
    <cacheField name="Curriculum" numFmtId="0">
      <sharedItems containsBlank="1" count="3">
        <s v="DUDBC"/>
        <s v="CTEVT"/>
        <m/>
      </sharedItems>
    </cacheField>
    <cacheField name="Start Date" numFmtId="164">
      <sharedItems containsNonDate="0" containsDate="1" containsString="0" containsBlank="1" minDate="2016-06-03T00:00:00" maxDate="2016-07-04T00:00:00"/>
    </cacheField>
    <cacheField name="End Date" numFmtId="164">
      <sharedItems containsNonDate="0" containsDate="1" containsString="0" containsBlank="1" minDate="2016-06-10T00:00:00" maxDate="2016-08-24T00:00:00"/>
    </cacheField>
    <cacheField name="Citizenship No." numFmtId="0">
      <sharedItems containsBlank="1"/>
    </cacheField>
    <cacheField name="Full Name" numFmtId="49">
      <sharedItems containsBlank="1"/>
    </cacheField>
    <cacheField name="Age" numFmtId="0">
      <sharedItems containsString="0" containsBlank="1" containsNumber="1" containsInteger="1" minValue="19" maxValue="60"/>
    </cacheField>
    <cacheField name="Gender" numFmtId="0">
      <sharedItems containsBlank="1" count="3">
        <s v="Male"/>
        <s v="Female"/>
        <m/>
      </sharedItems>
    </cacheField>
    <cacheField name="Caste" numFmtId="0">
      <sharedItems containsBlank="1"/>
    </cacheField>
    <cacheField name="Contact Number" numFmtId="0">
      <sharedItems containsString="0" containsBlank="1" containsNumber="1" containsInteger="1" minValue="9823487323" maxValue="9823487325"/>
    </cacheField>
    <cacheField name="Academic Qualification" numFmtId="2">
      <sharedItems containsBlank="1"/>
    </cacheField>
    <cacheField name="Experience" numFmtId="0">
      <sharedItems containsString="0" containsBlank="1" containsNumber="1" containsInteger="1" minValue="5" maxValue="5"/>
    </cacheField>
    <cacheField name="Comments" numFmtId="0">
      <sharedItems containsNonDate="0" containsString="0" containsBlank="1"/>
    </cacheField>
    <cacheField name="HRRP_VDC_Code" numFmtId="0">
      <sharedItems/>
    </cacheField>
    <cacheField name="Age_Class" numFmtId="0">
      <sharedItems count="6">
        <s v="18-34"/>
        <s v="60+"/>
        <s v="60 +" u="1"/>
        <s v="35-59" u="1"/>
        <s v="16-24" u="1"/>
        <s v="26-34"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9">
  <r>
    <n v="1"/>
    <s v="Dhading"/>
    <x v="0"/>
    <n v="1"/>
    <s v="XYZ"/>
    <x v="0"/>
    <s v="ACTED"/>
    <s v="ACTED"/>
    <x v="0"/>
    <x v="0"/>
    <d v="2016-06-03T00:00:00"/>
    <d v="2016-06-10T00:00:00"/>
    <s v="10324/2032"/>
    <s v="Ram Bahadur Khatri"/>
    <n v="26"/>
    <x v="0"/>
    <s v="Brahman"/>
    <n v="9823487323"/>
    <s v="Primary (Class 5 or below)"/>
    <n v="5"/>
    <m/>
    <s v="524 2 05 30 5 001"/>
    <x v="0"/>
  </r>
  <r>
    <n v="2"/>
    <s v="Dhading"/>
    <x v="1"/>
    <n v="1"/>
    <s v="XYZ"/>
    <x v="0"/>
    <s v="ACTED"/>
    <s v="ACTED"/>
    <x v="1"/>
    <x v="0"/>
    <d v="2016-07-03T00:00:00"/>
    <d v="2016-07-10T00:00:00"/>
    <s v="10324/2034"/>
    <s v="Hari Maya Shrestha"/>
    <n v="19"/>
    <x v="1"/>
    <s v="Newar"/>
    <n v="9823487325"/>
    <s v="Lower Secondary (Class 6-8)"/>
    <n v="5"/>
    <m/>
    <s v="524 2 05 30 5 003"/>
    <x v="0"/>
  </r>
  <r>
    <n v="3"/>
    <s v="Dhading"/>
    <x v="1"/>
    <n v="1"/>
    <s v="XYZ"/>
    <x v="0"/>
    <s v="ACTED"/>
    <s v="ACTED"/>
    <x v="2"/>
    <x v="1"/>
    <d v="2016-07-03T00:00:00"/>
    <d v="2016-08-23T00:00:00"/>
    <s v="10324/2036"/>
    <s v="Ram Bahadur Gurung"/>
    <n v="60"/>
    <x v="0"/>
    <s v="Gurung"/>
    <n v="9823487323"/>
    <s v="Primary (Class 5 or below)"/>
    <n v="5"/>
    <m/>
    <s v="524 2 05 30 5 003"/>
    <x v="1"/>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r>
    <s v=""/>
    <m/>
    <x v="2"/>
    <m/>
    <m/>
    <x v="1"/>
    <m/>
    <m/>
    <x v="3"/>
    <x v="2"/>
    <m/>
    <m/>
    <m/>
    <m/>
    <m/>
    <x v="2"/>
    <m/>
    <m/>
    <m/>
    <m/>
    <m/>
    <e v="#N/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location ref="B4:D7" firstHeaderRow="1" firstDataRow="1" firstDataCol="2"/>
  <pivotFields count="23">
    <pivotField dataField="1" compact="0" showAll="0" defaultSubtotal="0"/>
    <pivotField compact="0" showAll="0"/>
    <pivotField axis="axisRow" compact="0" showAll="0" sortType="ascending">
      <items count="17">
        <item x="0"/>
        <item m="1" x="15"/>
        <item x="1"/>
        <item m="1" x="3"/>
        <item m="1" x="9"/>
        <item m="1" x="11"/>
        <item m="1" x="12"/>
        <item m="1" x="5"/>
        <item m="1" x="4"/>
        <item m="1" x="6"/>
        <item m="1" x="14"/>
        <item m="1" x="7"/>
        <item m="1" x="10"/>
        <item m="1" x="13"/>
        <item m="1" x="8"/>
        <item h="1" x="2"/>
        <item t="default"/>
      </items>
    </pivotField>
    <pivotField compact="0" showAll="0"/>
    <pivotField compact="0" showAll="0"/>
    <pivotField compact="0" showAll="0">
      <items count="9">
        <item x="0"/>
        <item m="1" x="2"/>
        <item m="1" x="6"/>
        <item m="1" x="3"/>
        <item m="1" x="4"/>
        <item m="1" x="5"/>
        <item m="1" x="7"/>
        <item x="1"/>
        <item t="default"/>
      </items>
    </pivotField>
    <pivotField compact="0" showAll="0"/>
    <pivotField compact="0" showAll="0"/>
    <pivotField axis="axisRow" compact="0" showAll="0">
      <items count="6">
        <item h="1" m="1" x="4"/>
        <item h="1" x="0"/>
        <item h="1" x="3"/>
        <item x="1"/>
        <item h="1" x="2"/>
        <item t="default"/>
      </items>
    </pivotField>
    <pivotField compact="0" showAll="0">
      <items count="4">
        <item h="1" x="1"/>
        <item x="0"/>
        <item h="1"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defaultSubtotal="0">
      <items count="6">
        <item h="1" m="1" x="4"/>
        <item x="0"/>
        <item h="1" m="1" x="5"/>
        <item h="1" m="1" x="3"/>
        <item h="1" m="1" x="2"/>
        <item h="1" x="1"/>
      </items>
    </pivotField>
  </pivotFields>
  <rowFields count="2">
    <field x="2"/>
    <field x="8"/>
  </rowFields>
  <rowItems count="3">
    <i>
      <x v="2"/>
    </i>
    <i r="1">
      <x v="3"/>
    </i>
    <i t="grand">
      <x/>
    </i>
  </rowItems>
  <colItems count="1">
    <i/>
  </colItems>
  <dataFields count="1">
    <dataField name="Trained" fld="0" subtotal="countNums" baseField="2" baseItem="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Gender">
  <location ref="J4:K6" firstHeaderRow="1" firstDataRow="1" firstDataCol="1"/>
  <pivotFields count="23">
    <pivotField dataField="1" showAll="0"/>
    <pivotField showAll="0"/>
    <pivotField showAll="0"/>
    <pivotField showAll="0"/>
    <pivotField showAll="0"/>
    <pivotField showAll="0">
      <items count="9">
        <item x="0"/>
        <item m="1" x="2"/>
        <item m="1" x="6"/>
        <item m="1" x="3"/>
        <item m="1" x="4"/>
        <item m="1" x="5"/>
        <item m="1" x="7"/>
        <item x="1"/>
        <item t="default"/>
      </items>
    </pivotField>
    <pivotField showAll="0"/>
    <pivotField showAll="0"/>
    <pivotField showAll="0">
      <items count="6">
        <item h="1" m="1" x="4"/>
        <item x="1"/>
        <item h="1" x="0"/>
        <item h="1" x="2"/>
        <item h="1" x="3"/>
        <item t="default"/>
      </items>
    </pivotField>
    <pivotField showAll="0">
      <items count="4">
        <item h="1" x="1"/>
        <item x="0"/>
        <item h="1" x="2"/>
        <item t="default"/>
      </items>
    </pivotField>
    <pivotField showAll="0"/>
    <pivotField showAll="0"/>
    <pivotField showAll="0"/>
    <pivotField showAll="0"/>
    <pivotField showAll="0"/>
    <pivotField axis="axisRow" showAll="0" sortType="ascending">
      <items count="4">
        <item x="1"/>
        <item x="0"/>
        <item h="1" x="2"/>
        <item t="default"/>
      </items>
    </pivotField>
    <pivotField showAll="0"/>
    <pivotField showAll="0"/>
    <pivotField showAll="0"/>
    <pivotField showAll="0"/>
    <pivotField showAll="0"/>
    <pivotField showAll="0"/>
    <pivotField showAll="0" defaultSubtotal="0">
      <items count="6">
        <item h="1" m="1" x="4"/>
        <item x="0"/>
        <item h="1" m="1" x="5"/>
        <item h="1" m="1" x="3"/>
        <item h="1" m="1" x="2"/>
        <item h="1" x="1"/>
      </items>
    </pivotField>
  </pivotFields>
  <rowFields count="1">
    <field x="15"/>
  </rowFields>
  <rowItems count="2">
    <i>
      <x/>
    </i>
    <i t="grand">
      <x/>
    </i>
  </rowItems>
  <colItems count="1">
    <i/>
  </colItems>
  <dataFields count="1">
    <dataField name="Trained" fld="0" subtotal="countNums" baseField="15" baseItem="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location ref="F4:H7" firstHeaderRow="1" firstDataRow="1" firstDataCol="2"/>
  <pivotFields count="23">
    <pivotField dataField="1" compact="0" showAll="0"/>
    <pivotField compact="0" showAll="0"/>
    <pivotField compact="0" showAll="0"/>
    <pivotField compact="0" showAll="0"/>
    <pivotField compact="0" showAll="0"/>
    <pivotField axis="axisRow" compact="0" showAll="0" sortType="ascending">
      <items count="9">
        <item x="0"/>
        <item m="1" x="2"/>
        <item m="1" x="6"/>
        <item m="1" x="3"/>
        <item m="1" x="4"/>
        <item m="1" x="5"/>
        <item m="1" x="7"/>
        <item x="1"/>
        <item t="default"/>
      </items>
    </pivotField>
    <pivotField compact="0" showAll="0"/>
    <pivotField compact="0" showAll="0"/>
    <pivotField axis="axisRow" compact="0" showAll="0">
      <items count="6">
        <item h="1" m="1" x="4"/>
        <item h="1" x="0"/>
        <item h="1" x="3"/>
        <item x="1"/>
        <item h="1" x="2"/>
        <item t="default"/>
      </items>
    </pivotField>
    <pivotField compact="0" showAll="0">
      <items count="4">
        <item h="1" x="1"/>
        <item x="0"/>
        <item h="1"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defaultSubtotal="0">
      <items count="6">
        <item h="1" m="1" x="4"/>
        <item x="0"/>
        <item h="1" m="1" x="5"/>
        <item h="1" m="1" x="3"/>
        <item h="1" m="1" x="2"/>
        <item h="1" x="1"/>
      </items>
    </pivotField>
  </pivotFields>
  <rowFields count="2">
    <field x="5"/>
    <field x="8"/>
  </rowFields>
  <rowItems count="3">
    <i>
      <x/>
    </i>
    <i r="1">
      <x v="3"/>
    </i>
    <i t="grand">
      <x/>
    </i>
  </rowItems>
  <colItems count="1">
    <i/>
  </colItems>
  <dataFields count="1">
    <dataField name="Trained" fld="0" subtotal="countNums" baseField="5" baseItem="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rtner_Organisation" sourceName="Partner Organisation">
  <pivotTables>
    <pivotTable tabId="8" name="PivotTable2"/>
    <pivotTable tabId="8" name="PivotTable3"/>
    <pivotTable tabId="8" name="PivotTable4"/>
  </pivotTables>
  <data>
    <tabular pivotCacheId="1" showMissing="0">
      <items count="8">
        <i x="0" s="1"/>
        <i x="1" s="1" nd="1"/>
        <i x="2" s="1" nd="1"/>
        <i x="6" s="1" nd="1"/>
        <i x="3" s="1" nd="1"/>
        <i x="4" s="1" nd="1"/>
        <i x="5"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raining_Type" sourceName="Training Type">
  <pivotTables>
    <pivotTable tabId="8" name="PivotTable2"/>
    <pivotTable tabId="8" name="PivotTable3"/>
    <pivotTable tabId="8" name="PivotTable4"/>
  </pivotTables>
  <data>
    <tabular pivotCacheId="1" showMissing="0">
      <items count="5">
        <i x="1" s="1"/>
        <i x="0"/>
        <i x="2" nd="1"/>
        <i x="3"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rriculum" sourceName="Curriculum">
  <pivotTables>
    <pivotTable tabId="8" name="PivotTable2"/>
    <pivotTable tabId="8" name="PivotTable3"/>
    <pivotTable tabId="8" name="PivotTable4"/>
  </pivotTables>
  <data>
    <tabular pivotCacheId="1" showMissing="0">
      <items count="3">
        <i x="0" s="1"/>
        <i x="1"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Class" sourceName="Age_Class">
  <pivotTables>
    <pivotTable tabId="8" name="PivotTable2"/>
    <pivotTable tabId="8" name="PivotTable3"/>
    <pivotTable tabId="8" name="PivotTable4"/>
  </pivotTables>
  <data>
    <tabular pivotCacheId="1" showMissing="0">
      <items count="6">
        <i x="0" s="1"/>
        <i x="1" nd="1"/>
        <i x="4" nd="1"/>
        <i x="5" nd="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rtner Organisation" cache="Slicer_Partner_Organisation" caption="Partner Organisation" rowHeight="241300"/>
  <slicer name="Training Type" cache="Slicer_Training_Type" caption="Training Type" rowHeight="241300"/>
  <slicer name="Curriculum" cache="Slicer_Curriculum" caption="Curriculum" rowHeight="241300"/>
  <slicer name="Age_Class" cache="Slicer_Age_Class" caption="Age_Class" rowHeight="241300"/>
</slicers>
</file>

<file path=xl/tables/table1.xml><?xml version="1.0" encoding="utf-8"?>
<table xmlns="http://schemas.openxmlformats.org/spreadsheetml/2006/main" id="1" name="Table1" displayName="Table1" ref="A1:W40" totalsRowShown="0" headerRowDxfId="26" dataDxfId="25">
  <autoFilter ref="A1:W40"/>
  <tableColumns count="23">
    <tableColumn id="21" name="SN" dataDxfId="24">
      <calculatedColumnFormula>IF(Table1[[#This Row],[District]]&lt;&gt;"",ROW()-1,"")</calculatedColumnFormula>
    </tableColumn>
    <tableColumn id="2" name="District" dataDxfId="23"/>
    <tableColumn id="3" name="VDC/Municipality" dataDxfId="22"/>
    <tableColumn id="4" name="Ward" dataDxfId="21"/>
    <tableColumn id="1" name="Address (Village Name)" dataDxfId="20"/>
    <tableColumn id="5" name="Partner Organisation" dataDxfId="19"/>
    <tableColumn id="6" name="Implementing Partner" dataDxfId="18"/>
    <tableColumn id="19" name="Donor" dataDxfId="17"/>
    <tableColumn id="8" name="Training Type" dataDxfId="16"/>
    <tableColumn id="9" name="Curriculum" dataDxfId="15"/>
    <tableColumn id="10" name="Start Date" dataDxfId="14"/>
    <tableColumn id="11" name="End Date" dataDxfId="13"/>
    <tableColumn id="12" name="Citizenship No." dataDxfId="12"/>
    <tableColumn id="13" name="Full Name" dataDxfId="11"/>
    <tableColumn id="15" name="Age" dataDxfId="10"/>
    <tableColumn id="14" name="Gender" dataDxfId="9"/>
    <tableColumn id="18" name="Caste" dataDxfId="8"/>
    <tableColumn id="7" name="Contact Number" dataDxfId="7"/>
    <tableColumn id="16" name="Academic Qualification" dataDxfId="6"/>
    <tableColumn id="17" name="Experience" dataDxfId="5"/>
    <tableColumn id="24" name="Comments" dataDxfId="4"/>
    <tableColumn id="20" name="HRRP_VDC_Code" dataDxfId="3">
      <calculatedColumnFormula array="1">INDEX(VDC_CODE,MATCH(Table1[[#This Row],[District]]&amp;Table1[[#This Row],[VDC/Municipality]],Vocab_NameList!$F$2:$F$619&amp;VDC,0))</calculatedColumnFormula>
    </tableColumn>
    <tableColumn id="23" name="Age_Class" dataDxfId="0">
      <calculatedColumnFormula>IF(O2="","N/A",IF(O2&lt;18,"0-17",IF(O2&lt;35,"18-34",IF(O2&lt;60,"35-59",IF(2&gt;60,"60+","N/A")))))</calculatedColumnFormula>
    </tableColumn>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B332" totalsRowShown="0">
  <autoFilter ref="A1:B332"/>
  <sortState ref="A2:B332">
    <sortCondition ref="A1:A332"/>
  </sortState>
  <tableColumns count="2">
    <tableColumn id="1" name="Acronym"/>
    <tableColumn id="2" name="Partner Organis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4"/>
  <sheetViews>
    <sheetView topLeftCell="A46" zoomScale="80" zoomScaleNormal="80" workbookViewId="0">
      <selection activeCell="O85" sqref="O85"/>
    </sheetView>
  </sheetViews>
  <sheetFormatPr defaultRowHeight="15" x14ac:dyDescent="0.25"/>
  <cols>
    <col min="1" max="16384" width="9.140625" style="5"/>
  </cols>
  <sheetData>
    <row r="1" spans="1:13" customFormat="1" x14ac:dyDescent="0.25">
      <c r="A1" s="12"/>
      <c r="B1" s="12"/>
      <c r="C1" s="12"/>
      <c r="D1" s="12"/>
      <c r="E1" s="12"/>
      <c r="F1" s="12"/>
      <c r="G1" s="12"/>
      <c r="H1" s="12"/>
      <c r="I1" s="12"/>
      <c r="J1" s="12"/>
      <c r="K1" s="12"/>
      <c r="L1" s="12"/>
      <c r="M1" s="12"/>
    </row>
    <row r="2" spans="1:13" customFormat="1" x14ac:dyDescent="0.25">
      <c r="A2" s="12"/>
      <c r="B2" s="12"/>
      <c r="C2" s="12"/>
      <c r="D2" s="12"/>
      <c r="E2" s="12"/>
      <c r="F2" s="12"/>
      <c r="G2" s="12"/>
      <c r="H2" s="12"/>
      <c r="I2" s="12"/>
      <c r="J2" s="12"/>
      <c r="K2" s="12"/>
      <c r="L2" s="12"/>
      <c r="M2" s="12"/>
    </row>
    <row r="3" spans="1:13" customFormat="1" x14ac:dyDescent="0.25">
      <c r="A3" s="12"/>
      <c r="B3" s="12"/>
      <c r="C3" s="12"/>
      <c r="D3" s="12"/>
      <c r="E3" s="12"/>
      <c r="F3" s="12"/>
      <c r="G3" s="12"/>
      <c r="H3" s="12"/>
      <c r="I3" s="12"/>
      <c r="J3" s="12"/>
      <c r="K3" s="12"/>
      <c r="L3" s="12"/>
      <c r="M3" s="12"/>
    </row>
    <row r="4" spans="1:13" customFormat="1" x14ac:dyDescent="0.25">
      <c r="A4" s="12"/>
      <c r="B4" s="12"/>
      <c r="C4" s="12"/>
      <c r="D4" s="12"/>
      <c r="E4" s="12"/>
      <c r="F4" s="12"/>
      <c r="G4" s="12"/>
      <c r="H4" s="12"/>
      <c r="I4" s="12"/>
      <c r="J4" s="12"/>
      <c r="K4" s="12"/>
      <c r="L4" s="12"/>
      <c r="M4" s="12"/>
    </row>
    <row r="5" spans="1:13" customFormat="1" x14ac:dyDescent="0.25">
      <c r="A5" s="12"/>
      <c r="B5" s="12"/>
      <c r="C5" s="12"/>
      <c r="D5" s="12"/>
      <c r="E5" s="12"/>
      <c r="F5" s="12"/>
      <c r="G5" s="12"/>
      <c r="H5" s="12"/>
      <c r="I5" s="12"/>
      <c r="J5" s="12"/>
      <c r="K5" s="12"/>
      <c r="L5" s="12"/>
      <c r="M5" s="12"/>
    </row>
    <row r="6" spans="1:13" customFormat="1" x14ac:dyDescent="0.25">
      <c r="A6" s="12"/>
      <c r="B6" s="12"/>
      <c r="C6" s="12"/>
      <c r="D6" s="12"/>
      <c r="E6" s="12"/>
      <c r="F6" s="12"/>
      <c r="G6" s="12"/>
      <c r="H6" s="12"/>
      <c r="I6" s="12"/>
      <c r="J6" s="12"/>
      <c r="K6" s="12"/>
      <c r="L6" s="12"/>
      <c r="M6" s="12"/>
    </row>
    <row r="7" spans="1:13" customFormat="1" x14ac:dyDescent="0.25">
      <c r="A7" s="12"/>
      <c r="B7" s="12"/>
      <c r="C7" s="12"/>
      <c r="D7" s="12"/>
      <c r="E7" s="12"/>
      <c r="F7" s="12"/>
      <c r="G7" s="12"/>
      <c r="H7" s="12"/>
      <c r="I7" s="12"/>
      <c r="J7" s="12"/>
      <c r="K7" s="12"/>
      <c r="L7" s="12"/>
      <c r="M7" s="12"/>
    </row>
    <row r="8" spans="1:13" customFormat="1" x14ac:dyDescent="0.25">
      <c r="A8" s="12"/>
      <c r="B8" s="12"/>
      <c r="C8" s="12"/>
      <c r="D8" s="12"/>
      <c r="E8" s="12"/>
      <c r="F8" s="12"/>
      <c r="G8" s="12"/>
      <c r="H8" s="12"/>
      <c r="I8" s="12"/>
      <c r="J8" s="12"/>
      <c r="K8" s="12"/>
      <c r="L8" s="12"/>
      <c r="M8" s="12"/>
    </row>
    <row r="9" spans="1:13" customFormat="1" x14ac:dyDescent="0.25">
      <c r="A9" s="12"/>
      <c r="B9" s="12"/>
      <c r="C9" s="12"/>
      <c r="D9" s="12"/>
      <c r="E9" s="12"/>
      <c r="F9" s="12"/>
      <c r="G9" s="12"/>
      <c r="H9" s="12"/>
      <c r="I9" s="12"/>
      <c r="J9" s="12"/>
      <c r="K9" s="12"/>
      <c r="L9" s="12"/>
      <c r="M9" s="12"/>
    </row>
    <row r="10" spans="1:13" customFormat="1" x14ac:dyDescent="0.25">
      <c r="A10" s="12"/>
      <c r="B10" s="12"/>
      <c r="C10" s="12"/>
      <c r="D10" s="12"/>
      <c r="E10" s="12"/>
      <c r="F10" s="12"/>
      <c r="G10" s="12"/>
      <c r="H10" s="12"/>
      <c r="I10" s="12"/>
      <c r="J10" s="12"/>
      <c r="K10" s="12"/>
      <c r="L10" s="12"/>
      <c r="M10" s="12"/>
    </row>
    <row r="11" spans="1:13" customFormat="1" x14ac:dyDescent="0.25">
      <c r="A11" s="12"/>
      <c r="B11" s="12"/>
      <c r="C11" s="12"/>
      <c r="D11" s="12"/>
      <c r="E11" s="12"/>
      <c r="F11" s="12"/>
      <c r="G11" s="12"/>
      <c r="H11" s="12"/>
      <c r="I11" s="12"/>
      <c r="J11" s="12"/>
      <c r="K11" s="12"/>
      <c r="L11" s="12"/>
      <c r="M11" s="12"/>
    </row>
    <row r="12" spans="1:13" customFormat="1" x14ac:dyDescent="0.25">
      <c r="A12" s="12"/>
      <c r="B12" s="12"/>
      <c r="C12" s="12"/>
      <c r="D12" s="12"/>
      <c r="E12" s="12"/>
      <c r="F12" s="12"/>
      <c r="G12" s="12"/>
      <c r="H12" s="12"/>
      <c r="I12" s="12"/>
      <c r="J12" s="12"/>
      <c r="K12" s="12"/>
      <c r="L12" s="12"/>
      <c r="M12" s="12"/>
    </row>
    <row r="13" spans="1:13" customFormat="1" x14ac:dyDescent="0.25">
      <c r="A13" s="12"/>
      <c r="B13" s="12"/>
      <c r="C13" s="12"/>
      <c r="D13" s="12"/>
      <c r="E13" s="12"/>
      <c r="F13" s="12"/>
      <c r="G13" s="12"/>
      <c r="H13" s="12"/>
      <c r="I13" s="12"/>
      <c r="J13" s="12"/>
      <c r="K13" s="12"/>
      <c r="L13" s="12"/>
      <c r="M13" s="12"/>
    </row>
    <row r="14" spans="1:13" customFormat="1" x14ac:dyDescent="0.25">
      <c r="A14" s="12"/>
      <c r="B14" s="12"/>
      <c r="C14" s="12"/>
      <c r="D14" s="12"/>
      <c r="E14" s="12"/>
      <c r="F14" s="12"/>
      <c r="G14" s="12"/>
      <c r="H14" s="12"/>
      <c r="I14" s="12"/>
      <c r="J14" s="12"/>
      <c r="K14" s="12"/>
      <c r="L14" s="12"/>
      <c r="M14" s="12"/>
    </row>
    <row r="15" spans="1:13" customFormat="1" x14ac:dyDescent="0.25">
      <c r="A15" s="12"/>
      <c r="B15" s="12"/>
      <c r="C15" s="12"/>
      <c r="D15" s="12"/>
      <c r="E15" s="12"/>
      <c r="F15" s="12"/>
      <c r="G15" s="12"/>
      <c r="H15" s="12"/>
      <c r="I15" s="12"/>
      <c r="J15" s="12"/>
      <c r="K15" s="12"/>
      <c r="L15" s="12"/>
      <c r="M15" s="12"/>
    </row>
    <row r="16" spans="1:13" customFormat="1" x14ac:dyDescent="0.25">
      <c r="A16" s="12"/>
      <c r="B16" s="12"/>
      <c r="C16" s="12"/>
      <c r="D16" s="12"/>
      <c r="E16" s="12"/>
      <c r="F16" s="12"/>
      <c r="G16" s="12"/>
      <c r="H16" s="12"/>
      <c r="I16" s="12"/>
      <c r="J16" s="12"/>
      <c r="K16" s="12"/>
      <c r="L16" s="12"/>
      <c r="M16" s="12"/>
    </row>
    <row r="17" spans="1:13" customFormat="1" x14ac:dyDescent="0.25">
      <c r="A17" s="12"/>
      <c r="B17" s="12"/>
      <c r="C17" s="12"/>
      <c r="D17" s="12"/>
      <c r="E17" s="12"/>
      <c r="F17" s="12"/>
      <c r="G17" s="12"/>
      <c r="H17" s="12"/>
      <c r="I17" s="12"/>
      <c r="J17" s="12"/>
      <c r="K17" s="12"/>
      <c r="L17" s="12"/>
      <c r="M17" s="12"/>
    </row>
    <row r="18" spans="1:13" customFormat="1" x14ac:dyDescent="0.25">
      <c r="A18" s="12"/>
      <c r="B18" s="12"/>
      <c r="C18" s="12"/>
      <c r="D18" s="12"/>
      <c r="E18" s="12"/>
      <c r="F18" s="12"/>
      <c r="G18" s="12"/>
      <c r="H18" s="12"/>
      <c r="I18" s="12"/>
      <c r="J18" s="12"/>
      <c r="K18" s="12"/>
      <c r="L18" s="12"/>
      <c r="M18" s="12"/>
    </row>
    <row r="19" spans="1:13" customFormat="1" x14ac:dyDescent="0.25">
      <c r="A19" s="12"/>
      <c r="B19" s="12"/>
      <c r="C19" s="12"/>
      <c r="D19" s="12"/>
      <c r="E19" s="12"/>
      <c r="F19" s="12"/>
      <c r="G19" s="12"/>
      <c r="H19" s="12"/>
      <c r="I19" s="12"/>
      <c r="J19" s="12"/>
      <c r="K19" s="12"/>
      <c r="L19" s="12"/>
      <c r="M19" s="12"/>
    </row>
    <row r="20" spans="1:13" customFormat="1" x14ac:dyDescent="0.25">
      <c r="A20" s="12"/>
      <c r="B20" s="12"/>
      <c r="C20" s="12"/>
      <c r="D20" s="12"/>
      <c r="E20" s="12"/>
      <c r="F20" s="12"/>
      <c r="G20" s="12"/>
      <c r="H20" s="12"/>
      <c r="I20" s="12"/>
      <c r="J20" s="12"/>
      <c r="K20" s="12"/>
      <c r="L20" s="12"/>
      <c r="M20" s="12"/>
    </row>
    <row r="21" spans="1:13" customFormat="1" x14ac:dyDescent="0.25">
      <c r="A21" s="12"/>
      <c r="B21" s="12"/>
      <c r="C21" s="12"/>
      <c r="D21" s="12"/>
      <c r="E21" s="12"/>
      <c r="F21" s="12"/>
      <c r="G21" s="12"/>
      <c r="H21" s="12"/>
      <c r="I21" s="12"/>
      <c r="J21" s="12"/>
      <c r="K21" s="12"/>
      <c r="L21" s="12"/>
      <c r="M21" s="12"/>
    </row>
    <row r="22" spans="1:13" customFormat="1" x14ac:dyDescent="0.25">
      <c r="A22" s="12"/>
      <c r="B22" s="12"/>
      <c r="C22" s="12"/>
      <c r="D22" s="12"/>
      <c r="E22" s="12"/>
      <c r="F22" s="12"/>
      <c r="G22" s="12"/>
      <c r="H22" s="12"/>
      <c r="I22" s="12"/>
      <c r="J22" s="12"/>
      <c r="K22" s="12"/>
      <c r="L22" s="12"/>
      <c r="M22" s="12"/>
    </row>
    <row r="23" spans="1:13" customFormat="1" x14ac:dyDescent="0.25">
      <c r="A23" s="12"/>
      <c r="B23" s="12"/>
      <c r="C23" s="12"/>
      <c r="D23" s="12"/>
      <c r="E23" s="12"/>
      <c r="F23" s="12"/>
      <c r="G23" s="12"/>
      <c r="H23" s="12"/>
      <c r="I23" s="12"/>
      <c r="J23" s="12"/>
      <c r="K23" s="12"/>
      <c r="L23" s="12"/>
      <c r="M23" s="12"/>
    </row>
    <row r="24" spans="1:13" customFormat="1" x14ac:dyDescent="0.25">
      <c r="A24" s="12"/>
      <c r="B24" s="12"/>
      <c r="C24" s="12"/>
      <c r="D24" s="12"/>
      <c r="E24" s="12"/>
      <c r="F24" s="12"/>
      <c r="G24" s="12"/>
      <c r="H24" s="12"/>
      <c r="I24" s="12"/>
      <c r="J24" s="12"/>
      <c r="K24" s="12"/>
      <c r="L24" s="12"/>
      <c r="M24" s="12"/>
    </row>
    <row r="25" spans="1:13" customFormat="1" x14ac:dyDescent="0.25">
      <c r="A25" s="12"/>
      <c r="B25" s="12"/>
      <c r="C25" s="12"/>
      <c r="D25" s="12"/>
      <c r="E25" s="12"/>
      <c r="F25" s="12"/>
      <c r="G25" s="12"/>
      <c r="H25" s="12"/>
      <c r="I25" s="12"/>
      <c r="J25" s="12"/>
      <c r="K25" s="12"/>
      <c r="L25" s="12"/>
      <c r="M25" s="12"/>
    </row>
    <row r="26" spans="1:13" customFormat="1" x14ac:dyDescent="0.25">
      <c r="A26" s="12"/>
      <c r="B26" s="12"/>
      <c r="C26" s="12"/>
      <c r="D26" s="12"/>
      <c r="E26" s="12"/>
      <c r="F26" s="12"/>
      <c r="G26" s="12"/>
      <c r="H26" s="12"/>
      <c r="I26" s="12"/>
      <c r="J26" s="12"/>
      <c r="K26" s="12"/>
      <c r="L26" s="12"/>
      <c r="M26" s="12"/>
    </row>
    <row r="27" spans="1:13" customFormat="1" x14ac:dyDescent="0.25">
      <c r="A27" s="12"/>
      <c r="B27" s="12"/>
      <c r="C27" s="12"/>
      <c r="D27" s="12"/>
      <c r="E27" s="12"/>
      <c r="F27" s="12"/>
      <c r="G27" s="12"/>
      <c r="H27" s="12"/>
      <c r="I27" s="12"/>
      <c r="J27" s="12"/>
      <c r="K27" s="12"/>
      <c r="L27" s="12"/>
      <c r="M27" s="12"/>
    </row>
    <row r="28" spans="1:13" customFormat="1" x14ac:dyDescent="0.25">
      <c r="A28" s="12"/>
      <c r="B28" s="12"/>
      <c r="C28" s="12"/>
      <c r="D28" s="12"/>
      <c r="E28" s="12"/>
      <c r="F28" s="12"/>
      <c r="G28" s="12"/>
      <c r="H28" s="12"/>
      <c r="I28" s="12"/>
      <c r="J28" s="12"/>
      <c r="K28" s="12"/>
      <c r="L28" s="12"/>
      <c r="M28" s="12"/>
    </row>
    <row r="29" spans="1:13" customFormat="1" x14ac:dyDescent="0.25">
      <c r="A29" s="12"/>
      <c r="B29" s="12"/>
      <c r="C29" s="12"/>
      <c r="D29" s="12"/>
      <c r="E29" s="12"/>
      <c r="F29" s="12"/>
      <c r="G29" s="12"/>
      <c r="H29" s="12"/>
      <c r="I29" s="12"/>
      <c r="J29" s="12"/>
      <c r="K29" s="12"/>
      <c r="L29" s="12"/>
      <c r="M29" s="12"/>
    </row>
    <row r="30" spans="1:13" customFormat="1" x14ac:dyDescent="0.25">
      <c r="A30" s="12"/>
      <c r="B30" s="12"/>
      <c r="C30" s="12"/>
      <c r="D30" s="12"/>
      <c r="E30" s="12"/>
      <c r="F30" s="12"/>
      <c r="G30" s="12"/>
      <c r="H30" s="12"/>
      <c r="I30" s="12"/>
      <c r="J30" s="12"/>
      <c r="K30" s="12"/>
      <c r="L30" s="12"/>
      <c r="M30" s="12"/>
    </row>
    <row r="31" spans="1:13" customFormat="1" x14ac:dyDescent="0.25">
      <c r="A31" s="12"/>
      <c r="B31" s="12"/>
      <c r="C31" s="12"/>
      <c r="D31" s="12"/>
      <c r="E31" s="12"/>
      <c r="F31" s="12"/>
      <c r="G31" s="12"/>
      <c r="H31" s="12"/>
      <c r="I31" s="12"/>
      <c r="J31" s="12"/>
      <c r="K31" s="12"/>
      <c r="L31" s="12"/>
      <c r="M31" s="12"/>
    </row>
    <row r="32" spans="1:13" customFormat="1" x14ac:dyDescent="0.25">
      <c r="A32" s="12"/>
      <c r="B32" s="12"/>
      <c r="C32" s="12"/>
      <c r="D32" s="12"/>
      <c r="E32" s="12"/>
      <c r="F32" s="12"/>
      <c r="G32" s="12"/>
      <c r="H32" s="12"/>
      <c r="I32" s="12"/>
      <c r="J32" s="12"/>
      <c r="K32" s="12"/>
      <c r="L32" s="12"/>
      <c r="M32" s="12"/>
    </row>
    <row r="33" spans="1:13" customFormat="1" x14ac:dyDescent="0.25">
      <c r="A33" s="12"/>
      <c r="B33" s="12"/>
      <c r="C33" s="12"/>
      <c r="D33" s="12"/>
      <c r="E33" s="12"/>
      <c r="F33" s="12"/>
      <c r="G33" s="12"/>
      <c r="H33" s="12"/>
      <c r="I33" s="12"/>
      <c r="J33" s="12"/>
      <c r="K33" s="12"/>
      <c r="L33" s="12"/>
      <c r="M33" s="12"/>
    </row>
    <row r="34" spans="1:13" customFormat="1" x14ac:dyDescent="0.25">
      <c r="A34" s="12"/>
      <c r="B34" s="12"/>
      <c r="C34" s="12"/>
      <c r="D34" s="12"/>
      <c r="E34" s="12"/>
      <c r="F34" s="12"/>
      <c r="G34" s="12"/>
      <c r="H34" s="12"/>
      <c r="I34" s="12"/>
      <c r="J34" s="12"/>
      <c r="K34" s="12"/>
      <c r="L34" s="12"/>
      <c r="M34" s="12"/>
    </row>
    <row r="35" spans="1:13" customFormat="1" x14ac:dyDescent="0.25">
      <c r="A35" s="12"/>
      <c r="B35" s="12"/>
      <c r="C35" s="12"/>
      <c r="D35" s="12"/>
      <c r="E35" s="12"/>
      <c r="F35" s="12"/>
      <c r="G35" s="12"/>
      <c r="H35" s="12"/>
      <c r="I35" s="12"/>
      <c r="J35" s="12"/>
      <c r="K35" s="12"/>
      <c r="L35" s="12"/>
      <c r="M35" s="12"/>
    </row>
    <row r="36" spans="1:13" customFormat="1" x14ac:dyDescent="0.25">
      <c r="A36" s="12"/>
      <c r="B36" s="12"/>
      <c r="C36" s="12"/>
      <c r="D36" s="12"/>
      <c r="E36" s="12"/>
      <c r="F36" s="12"/>
      <c r="G36" s="12"/>
      <c r="H36" s="12"/>
      <c r="I36" s="12"/>
      <c r="J36" s="12"/>
      <c r="K36" s="12"/>
      <c r="L36" s="12"/>
      <c r="M36" s="12"/>
    </row>
    <row r="37" spans="1:13" customFormat="1" x14ac:dyDescent="0.25">
      <c r="A37" s="12"/>
      <c r="B37" s="12"/>
      <c r="C37" s="12"/>
      <c r="D37" s="12"/>
      <c r="E37" s="12"/>
      <c r="F37" s="12"/>
      <c r="G37" s="12"/>
      <c r="H37" s="12"/>
      <c r="I37" s="12"/>
      <c r="J37" s="12"/>
      <c r="K37" s="12"/>
      <c r="L37" s="12"/>
      <c r="M37" s="12"/>
    </row>
    <row r="38" spans="1:13" customFormat="1" x14ac:dyDescent="0.25">
      <c r="A38" s="12"/>
      <c r="B38" s="12"/>
      <c r="C38" s="12"/>
      <c r="D38" s="12"/>
      <c r="E38" s="12"/>
      <c r="F38" s="12"/>
      <c r="G38" s="12"/>
      <c r="H38" s="12"/>
      <c r="I38" s="12"/>
      <c r="J38" s="12"/>
      <c r="K38" s="12"/>
      <c r="L38" s="12"/>
      <c r="M38" s="12"/>
    </row>
    <row r="39" spans="1:13" customFormat="1" x14ac:dyDescent="0.25">
      <c r="A39" s="12"/>
      <c r="B39" s="12"/>
      <c r="C39" s="12"/>
      <c r="D39" s="12"/>
      <c r="E39" s="12"/>
      <c r="F39" s="12"/>
      <c r="G39" s="12"/>
      <c r="H39" s="12"/>
      <c r="I39" s="12"/>
      <c r="J39" s="12"/>
      <c r="K39" s="12"/>
      <c r="L39" s="12"/>
      <c r="M39" s="12"/>
    </row>
    <row r="40" spans="1:13" customFormat="1" x14ac:dyDescent="0.25">
      <c r="A40" s="12"/>
      <c r="B40" s="12"/>
      <c r="C40" s="12"/>
      <c r="D40" s="12"/>
      <c r="E40" s="12"/>
      <c r="F40" s="12"/>
      <c r="G40" s="12"/>
      <c r="H40" s="12"/>
      <c r="I40" s="12"/>
      <c r="J40" s="12"/>
      <c r="K40" s="12"/>
      <c r="L40" s="12"/>
      <c r="M40" s="12"/>
    </row>
    <row r="41" spans="1:13" customFormat="1" x14ac:dyDescent="0.25">
      <c r="A41" s="12"/>
      <c r="B41" s="12"/>
      <c r="C41" s="12"/>
      <c r="D41" s="12"/>
      <c r="E41" s="12"/>
      <c r="F41" s="12"/>
      <c r="G41" s="12"/>
      <c r="H41" s="12"/>
      <c r="I41" s="12"/>
      <c r="J41" s="12"/>
      <c r="K41" s="12"/>
      <c r="L41" s="12"/>
      <c r="M41" s="12"/>
    </row>
    <row r="42" spans="1:13" customFormat="1" x14ac:dyDescent="0.25">
      <c r="A42" s="12"/>
      <c r="B42" s="12"/>
      <c r="C42" s="12"/>
      <c r="D42" s="12"/>
      <c r="E42" s="12"/>
      <c r="F42" s="12"/>
      <c r="G42" s="12"/>
      <c r="H42" s="12"/>
      <c r="I42" s="12"/>
      <c r="J42" s="12"/>
      <c r="K42" s="12"/>
      <c r="L42" s="12"/>
      <c r="M42" s="12"/>
    </row>
    <row r="43" spans="1:13" customFormat="1" x14ac:dyDescent="0.25">
      <c r="A43" s="12"/>
      <c r="B43" s="12"/>
      <c r="C43" s="12"/>
      <c r="D43" s="12"/>
      <c r="E43" s="12"/>
      <c r="F43" s="12"/>
      <c r="G43" s="12"/>
      <c r="H43" s="12"/>
      <c r="I43" s="12"/>
      <c r="J43" s="12"/>
      <c r="K43" s="12"/>
      <c r="L43" s="12"/>
      <c r="M43" s="12"/>
    </row>
    <row r="44" spans="1:13" customFormat="1" x14ac:dyDescent="0.25">
      <c r="A44" s="12"/>
      <c r="B44" s="12"/>
      <c r="C44" s="12"/>
      <c r="D44" s="12"/>
      <c r="E44" s="12"/>
      <c r="F44" s="12"/>
      <c r="G44" s="12"/>
      <c r="H44" s="12"/>
      <c r="I44" s="12"/>
      <c r="J44" s="12"/>
      <c r="K44" s="12"/>
      <c r="L44" s="12"/>
      <c r="M44" s="12"/>
    </row>
    <row r="45" spans="1:13" customFormat="1" x14ac:dyDescent="0.25">
      <c r="A45" s="12"/>
      <c r="B45" s="12"/>
      <c r="C45" s="12"/>
      <c r="D45" s="12"/>
      <c r="E45" s="12"/>
      <c r="F45" s="12"/>
      <c r="G45" s="12"/>
      <c r="H45" s="12"/>
      <c r="I45" s="12"/>
      <c r="J45" s="12"/>
      <c r="K45" s="12"/>
      <c r="L45" s="12"/>
      <c r="M45" s="12"/>
    </row>
    <row r="46" spans="1:13" customFormat="1" x14ac:dyDescent="0.25">
      <c r="A46" s="12"/>
      <c r="B46" s="12"/>
      <c r="C46" s="12"/>
      <c r="D46" s="12"/>
      <c r="E46" s="12"/>
      <c r="F46" s="12"/>
      <c r="G46" s="12"/>
      <c r="H46" s="12"/>
      <c r="I46" s="12"/>
      <c r="J46" s="12"/>
      <c r="K46" s="12"/>
      <c r="L46" s="12"/>
      <c r="M46" s="12"/>
    </row>
    <row r="47" spans="1:13" customFormat="1" x14ac:dyDescent="0.25">
      <c r="A47" s="12"/>
      <c r="B47" s="12"/>
      <c r="C47" s="12"/>
      <c r="D47" s="12"/>
      <c r="E47" s="12"/>
      <c r="F47" s="12"/>
      <c r="G47" s="12"/>
      <c r="H47" s="12"/>
      <c r="I47" s="12"/>
      <c r="J47" s="12"/>
      <c r="K47" s="12"/>
      <c r="L47" s="12"/>
      <c r="M47" s="12"/>
    </row>
    <row r="48" spans="1:13" customFormat="1" x14ac:dyDescent="0.25">
      <c r="A48" s="12"/>
      <c r="B48" s="12"/>
      <c r="C48" s="12"/>
      <c r="D48" s="12"/>
      <c r="E48" s="12"/>
      <c r="F48" s="12"/>
      <c r="G48" s="12"/>
      <c r="H48" s="12"/>
      <c r="I48" s="12"/>
      <c r="J48" s="12"/>
      <c r="K48" s="12"/>
      <c r="L48" s="12"/>
      <c r="M48" s="12"/>
    </row>
    <row r="49" spans="1:13" customFormat="1" x14ac:dyDescent="0.25">
      <c r="A49" s="12"/>
      <c r="B49" s="12"/>
      <c r="C49" s="12"/>
      <c r="D49" s="12"/>
      <c r="E49" s="12"/>
      <c r="F49" s="12"/>
      <c r="G49" s="12"/>
      <c r="H49" s="12"/>
      <c r="I49" s="12"/>
      <c r="J49" s="12"/>
      <c r="K49" s="12"/>
      <c r="L49" s="12"/>
      <c r="M49" s="12"/>
    </row>
    <row r="50" spans="1:13" customFormat="1" x14ac:dyDescent="0.25">
      <c r="A50" s="12"/>
      <c r="B50" s="12"/>
      <c r="C50" s="12"/>
      <c r="D50" s="12"/>
      <c r="E50" s="12"/>
      <c r="F50" s="12"/>
      <c r="G50" s="12"/>
      <c r="H50" s="12"/>
      <c r="I50" s="12"/>
      <c r="J50" s="12"/>
      <c r="K50" s="12"/>
      <c r="L50" s="12"/>
      <c r="M50" s="12"/>
    </row>
    <row r="51" spans="1:13" customFormat="1" x14ac:dyDescent="0.25">
      <c r="A51" s="12"/>
      <c r="B51" s="12"/>
      <c r="C51" s="12"/>
      <c r="D51" s="12"/>
      <c r="E51" s="12"/>
      <c r="F51" s="12"/>
      <c r="G51" s="12"/>
      <c r="H51" s="12"/>
      <c r="I51" s="12"/>
      <c r="J51" s="12"/>
      <c r="K51" s="12"/>
      <c r="L51" s="12"/>
      <c r="M51" s="12"/>
    </row>
    <row r="52" spans="1:13" customFormat="1" x14ac:dyDescent="0.25">
      <c r="A52" s="12"/>
      <c r="B52" s="12"/>
      <c r="C52" s="12"/>
      <c r="D52" s="12"/>
      <c r="E52" s="12"/>
      <c r="F52" s="12"/>
      <c r="G52" s="12"/>
      <c r="H52" s="12"/>
      <c r="I52" s="12"/>
      <c r="J52" s="12"/>
      <c r="K52" s="12"/>
      <c r="L52" s="12"/>
      <c r="M52" s="12"/>
    </row>
    <row r="53" spans="1:13" customFormat="1" x14ac:dyDescent="0.25">
      <c r="A53" s="12"/>
      <c r="B53" s="12"/>
      <c r="C53" s="12"/>
      <c r="D53" s="12"/>
      <c r="E53" s="12"/>
      <c r="F53" s="12"/>
      <c r="G53" s="12"/>
      <c r="H53" s="12"/>
      <c r="I53" s="12"/>
      <c r="J53" s="12"/>
      <c r="K53" s="12"/>
      <c r="L53" s="12"/>
      <c r="M53" s="12"/>
    </row>
    <row r="54" spans="1:13" customFormat="1" x14ac:dyDescent="0.25">
      <c r="A54" s="12"/>
      <c r="B54" s="12"/>
      <c r="C54" s="12"/>
      <c r="D54" s="12"/>
      <c r="E54" s="12"/>
      <c r="F54" s="12"/>
      <c r="G54" s="12"/>
      <c r="H54" s="12"/>
      <c r="I54" s="12"/>
      <c r="J54" s="12"/>
      <c r="K54" s="12"/>
      <c r="L54" s="12"/>
      <c r="M54" s="12"/>
    </row>
    <row r="55" spans="1:13" customFormat="1" x14ac:dyDescent="0.25">
      <c r="A55" s="12"/>
      <c r="B55" s="12"/>
      <c r="C55" s="12"/>
      <c r="D55" s="12"/>
      <c r="E55" s="12"/>
      <c r="F55" s="12"/>
      <c r="G55" s="12"/>
      <c r="H55" s="12"/>
      <c r="I55" s="12"/>
      <c r="J55" s="12"/>
      <c r="K55" s="12"/>
      <c r="L55" s="12"/>
      <c r="M55" s="12"/>
    </row>
    <row r="56" spans="1:13" customFormat="1" x14ac:dyDescent="0.25">
      <c r="A56" s="12"/>
      <c r="B56" s="12"/>
      <c r="C56" s="12"/>
      <c r="D56" s="12"/>
      <c r="E56" s="12"/>
      <c r="F56" s="12"/>
      <c r="G56" s="12"/>
      <c r="H56" s="12"/>
      <c r="I56" s="12"/>
      <c r="J56" s="12"/>
      <c r="K56" s="12"/>
      <c r="L56" s="12"/>
      <c r="M56" s="12"/>
    </row>
    <row r="57" spans="1:13" customFormat="1" x14ac:dyDescent="0.25">
      <c r="A57" s="12"/>
      <c r="B57" s="12"/>
      <c r="C57" s="12"/>
      <c r="D57" s="12"/>
      <c r="E57" s="12"/>
      <c r="F57" s="12"/>
      <c r="G57" s="12"/>
      <c r="H57" s="12"/>
      <c r="I57" s="12"/>
      <c r="J57" s="12"/>
      <c r="K57" s="12"/>
      <c r="L57" s="12"/>
      <c r="M57" s="12"/>
    </row>
    <row r="58" spans="1:13" customFormat="1" x14ac:dyDescent="0.25">
      <c r="A58" s="12"/>
      <c r="B58" s="12"/>
      <c r="C58" s="12"/>
      <c r="D58" s="12"/>
      <c r="E58" s="12"/>
      <c r="F58" s="12"/>
      <c r="G58" s="12"/>
      <c r="H58" s="12"/>
      <c r="I58" s="12"/>
      <c r="J58" s="12"/>
      <c r="K58" s="12"/>
      <c r="L58" s="12"/>
      <c r="M58" s="12"/>
    </row>
    <row r="59" spans="1:13" customFormat="1" x14ac:dyDescent="0.25">
      <c r="A59" s="12"/>
      <c r="B59" s="12"/>
      <c r="C59" s="12"/>
      <c r="D59" s="12"/>
      <c r="E59" s="12"/>
      <c r="F59" s="12"/>
      <c r="G59" s="12"/>
      <c r="H59" s="12"/>
      <c r="I59" s="12"/>
      <c r="J59" s="12"/>
      <c r="K59" s="12"/>
      <c r="L59" s="12"/>
      <c r="M59" s="12"/>
    </row>
    <row r="60" spans="1:13" customFormat="1" x14ac:dyDescent="0.25">
      <c r="A60" s="12"/>
      <c r="B60" s="12"/>
      <c r="C60" s="12"/>
      <c r="D60" s="12"/>
      <c r="E60" s="12"/>
      <c r="F60" s="12"/>
      <c r="G60" s="12"/>
      <c r="H60" s="12"/>
      <c r="I60" s="12"/>
      <c r="J60" s="12"/>
      <c r="K60" s="12"/>
      <c r="L60" s="12"/>
      <c r="M60" s="12"/>
    </row>
    <row r="61" spans="1:13" customFormat="1" x14ac:dyDescent="0.25">
      <c r="A61" s="12"/>
      <c r="B61" s="12"/>
      <c r="C61" s="12"/>
      <c r="D61" s="12"/>
      <c r="E61" s="12"/>
      <c r="F61" s="12"/>
      <c r="G61" s="12"/>
      <c r="H61" s="12"/>
      <c r="I61" s="12"/>
      <c r="J61" s="12"/>
      <c r="K61" s="12"/>
      <c r="L61" s="12"/>
      <c r="M61" s="12"/>
    </row>
    <row r="62" spans="1:13" customFormat="1" x14ac:dyDescent="0.25">
      <c r="A62" s="12"/>
      <c r="B62" s="12"/>
      <c r="C62" s="12"/>
      <c r="D62" s="12"/>
      <c r="E62" s="12"/>
      <c r="F62" s="12"/>
      <c r="G62" s="12"/>
      <c r="H62" s="12"/>
      <c r="I62" s="12"/>
      <c r="J62" s="12"/>
      <c r="K62" s="12"/>
      <c r="L62" s="12"/>
      <c r="M62" s="12"/>
    </row>
    <row r="63" spans="1:13" customFormat="1" x14ac:dyDescent="0.25">
      <c r="A63" s="12"/>
      <c r="B63" s="12"/>
      <c r="C63" s="12"/>
      <c r="D63" s="12"/>
      <c r="E63" s="12"/>
      <c r="F63" s="12"/>
      <c r="G63" s="12"/>
      <c r="H63" s="12"/>
      <c r="I63" s="12"/>
      <c r="J63" s="12"/>
      <c r="K63" s="12"/>
      <c r="L63" s="12"/>
      <c r="M63" s="12"/>
    </row>
    <row r="64" spans="1:13" customFormat="1" x14ac:dyDescent="0.25">
      <c r="A64" s="12"/>
      <c r="B64" s="12"/>
      <c r="C64" s="12"/>
      <c r="D64" s="12"/>
      <c r="E64" s="12"/>
      <c r="F64" s="12"/>
      <c r="G64" s="12"/>
      <c r="H64" s="12"/>
      <c r="I64" s="12"/>
      <c r="J64" s="12"/>
      <c r="K64" s="12"/>
      <c r="L64" s="12"/>
      <c r="M64" s="12"/>
    </row>
    <row r="65" spans="1:13" customFormat="1" x14ac:dyDescent="0.25">
      <c r="A65" s="12"/>
      <c r="B65" s="12"/>
      <c r="C65" s="12"/>
      <c r="D65" s="12"/>
      <c r="E65" s="12"/>
      <c r="F65" s="12"/>
      <c r="G65" s="12"/>
      <c r="H65" s="12"/>
      <c r="I65" s="12"/>
      <c r="J65" s="12"/>
      <c r="K65" s="12"/>
      <c r="L65" s="12"/>
      <c r="M65" s="12"/>
    </row>
    <row r="66" spans="1:13" customFormat="1" x14ac:dyDescent="0.25">
      <c r="A66" s="12"/>
      <c r="B66" s="12"/>
      <c r="C66" s="12"/>
      <c r="D66" s="12"/>
      <c r="E66" s="12"/>
      <c r="F66" s="12"/>
      <c r="G66" s="12"/>
      <c r="H66" s="12"/>
      <c r="I66" s="12"/>
      <c r="J66" s="12"/>
      <c r="K66" s="12"/>
      <c r="L66" s="12"/>
      <c r="M66" s="12"/>
    </row>
    <row r="67" spans="1:13" customFormat="1" x14ac:dyDescent="0.25">
      <c r="A67" s="12"/>
      <c r="B67" s="12"/>
      <c r="C67" s="12"/>
      <c r="D67" s="12"/>
      <c r="E67" s="12"/>
      <c r="F67" s="12"/>
      <c r="G67" s="12"/>
      <c r="H67" s="12"/>
      <c r="I67" s="12"/>
      <c r="J67" s="12"/>
      <c r="K67" s="12"/>
      <c r="L67" s="12"/>
      <c r="M67" s="12"/>
    </row>
    <row r="68" spans="1:13" customFormat="1" x14ac:dyDescent="0.25">
      <c r="A68" s="12"/>
      <c r="B68" s="12"/>
      <c r="C68" s="12"/>
      <c r="D68" s="12"/>
      <c r="E68" s="12"/>
      <c r="F68" s="12"/>
      <c r="G68" s="12"/>
      <c r="H68" s="12"/>
      <c r="I68" s="12"/>
      <c r="J68" s="12"/>
      <c r="K68" s="12"/>
      <c r="L68" s="12"/>
      <c r="M68" s="12"/>
    </row>
    <row r="69" spans="1:13" customFormat="1" x14ac:dyDescent="0.25">
      <c r="A69" s="12"/>
      <c r="B69" s="12"/>
      <c r="C69" s="12"/>
      <c r="D69" s="12"/>
      <c r="E69" s="12"/>
      <c r="F69" s="12"/>
      <c r="G69" s="12"/>
      <c r="H69" s="12"/>
      <c r="I69" s="12"/>
      <c r="J69" s="12"/>
      <c r="K69" s="12"/>
      <c r="L69" s="12"/>
      <c r="M69" s="12"/>
    </row>
    <row r="70" spans="1:13" customFormat="1" x14ac:dyDescent="0.25">
      <c r="A70" s="12"/>
      <c r="B70" s="12"/>
      <c r="C70" s="12"/>
      <c r="D70" s="12"/>
      <c r="E70" s="12"/>
      <c r="F70" s="12"/>
      <c r="G70" s="12"/>
      <c r="H70" s="12"/>
      <c r="I70" s="12"/>
      <c r="J70" s="12"/>
      <c r="K70" s="12"/>
      <c r="L70" s="12"/>
      <c r="M70" s="12"/>
    </row>
    <row r="71" spans="1:13" customFormat="1" x14ac:dyDescent="0.25">
      <c r="A71" s="12"/>
      <c r="B71" s="12"/>
      <c r="C71" s="12"/>
      <c r="D71" s="12"/>
      <c r="E71" s="12"/>
      <c r="F71" s="12"/>
      <c r="G71" s="12"/>
      <c r="H71" s="12"/>
      <c r="I71" s="12"/>
      <c r="J71" s="12"/>
      <c r="K71" s="12"/>
      <c r="L71" s="12"/>
      <c r="M71" s="12"/>
    </row>
    <row r="72" spans="1:13" customFormat="1" x14ac:dyDescent="0.25">
      <c r="A72" s="12"/>
      <c r="B72" s="12"/>
      <c r="C72" s="12"/>
      <c r="D72" s="12"/>
      <c r="E72" s="12"/>
      <c r="F72" s="12"/>
      <c r="G72" s="12"/>
      <c r="H72" s="12"/>
      <c r="I72" s="12"/>
      <c r="J72" s="12"/>
      <c r="K72" s="12"/>
      <c r="L72" s="12"/>
      <c r="M72" s="12"/>
    </row>
    <row r="73" spans="1:13" customFormat="1" x14ac:dyDescent="0.25">
      <c r="A73" s="12"/>
      <c r="B73" s="12"/>
      <c r="C73" s="12"/>
      <c r="D73" s="12"/>
      <c r="E73" s="12"/>
      <c r="F73" s="12"/>
      <c r="G73" s="12"/>
      <c r="H73" s="12"/>
      <c r="I73" s="12"/>
      <c r="J73" s="12"/>
      <c r="K73" s="12"/>
      <c r="L73" s="12"/>
      <c r="M73" s="12"/>
    </row>
    <row r="74" spans="1:13" customFormat="1" x14ac:dyDescent="0.25">
      <c r="A74" s="12"/>
      <c r="B74" s="12"/>
      <c r="C74" s="12"/>
      <c r="D74" s="12"/>
      <c r="E74" s="12"/>
      <c r="F74" s="12"/>
      <c r="G74" s="12"/>
      <c r="H74" s="12"/>
      <c r="I74" s="12"/>
      <c r="J74" s="12"/>
      <c r="K74" s="12"/>
      <c r="L74" s="12"/>
      <c r="M74" s="12"/>
    </row>
    <row r="75" spans="1:13" customFormat="1" x14ac:dyDescent="0.25">
      <c r="A75" s="12"/>
      <c r="B75" s="12"/>
      <c r="C75" s="12"/>
      <c r="D75" s="12"/>
      <c r="E75" s="12"/>
      <c r="F75" s="12"/>
      <c r="G75" s="12"/>
      <c r="H75" s="12"/>
      <c r="I75" s="12"/>
      <c r="J75" s="12"/>
      <c r="K75" s="12"/>
      <c r="L75" s="12"/>
      <c r="M75" s="12"/>
    </row>
    <row r="76" spans="1:13" customFormat="1" x14ac:dyDescent="0.25">
      <c r="A76" s="12"/>
      <c r="B76" s="12"/>
      <c r="C76" s="12"/>
      <c r="D76" s="12"/>
      <c r="E76" s="12"/>
      <c r="F76" s="12"/>
      <c r="G76" s="12"/>
      <c r="H76" s="12"/>
      <c r="I76" s="12"/>
      <c r="J76" s="12"/>
      <c r="K76" s="12"/>
      <c r="L76" s="12"/>
      <c r="M76" s="12"/>
    </row>
    <row r="77" spans="1:13" customFormat="1" x14ac:dyDescent="0.25">
      <c r="A77" s="12"/>
      <c r="B77" s="12"/>
      <c r="C77" s="12"/>
      <c r="D77" s="12"/>
      <c r="E77" s="12"/>
      <c r="F77" s="12"/>
      <c r="G77" s="12"/>
      <c r="H77" s="12"/>
      <c r="I77" s="12"/>
      <c r="J77" s="12"/>
      <c r="K77" s="12"/>
      <c r="L77" s="12"/>
      <c r="M77" s="12"/>
    </row>
    <row r="78" spans="1:13" customFormat="1" x14ac:dyDescent="0.25">
      <c r="A78" s="12"/>
      <c r="B78" s="12"/>
      <c r="C78" s="12"/>
      <c r="D78" s="12"/>
      <c r="E78" s="12"/>
      <c r="F78" s="12"/>
      <c r="G78" s="12"/>
      <c r="H78" s="12"/>
      <c r="I78" s="12"/>
      <c r="J78" s="12"/>
      <c r="K78" s="12"/>
      <c r="L78" s="12"/>
      <c r="M78" s="12"/>
    </row>
    <row r="79" spans="1:13" customFormat="1" x14ac:dyDescent="0.25">
      <c r="A79" s="12"/>
      <c r="B79" s="12"/>
      <c r="C79" s="12"/>
      <c r="D79" s="12"/>
      <c r="E79" s="12"/>
      <c r="F79" s="12"/>
      <c r="G79" s="12"/>
      <c r="H79" s="12"/>
      <c r="I79" s="12"/>
      <c r="J79" s="12"/>
      <c r="K79" s="12"/>
      <c r="L79" s="12"/>
      <c r="M79" s="12"/>
    </row>
    <row r="80" spans="1:13" customFormat="1" x14ac:dyDescent="0.25">
      <c r="A80" s="12"/>
      <c r="B80" s="12"/>
      <c r="C80" s="12"/>
      <c r="D80" s="12"/>
      <c r="E80" s="12"/>
      <c r="F80" s="12"/>
      <c r="G80" s="12"/>
      <c r="H80" s="12"/>
      <c r="I80" s="12"/>
      <c r="J80" s="12"/>
      <c r="K80" s="12"/>
      <c r="L80" s="12"/>
      <c r="M80" s="12"/>
    </row>
    <row r="81" spans="1:21" customFormat="1" x14ac:dyDescent="0.25">
      <c r="A81" s="12"/>
      <c r="B81" s="12"/>
      <c r="C81" s="12"/>
      <c r="D81" s="12"/>
      <c r="E81" s="12"/>
      <c r="F81" s="12"/>
      <c r="G81" s="12"/>
      <c r="H81" s="12"/>
      <c r="I81" s="12"/>
      <c r="J81" s="12"/>
      <c r="K81" s="12"/>
      <c r="L81" s="12"/>
      <c r="M81" s="12"/>
    </row>
    <row r="82" spans="1:21" customFormat="1" x14ac:dyDescent="0.25">
      <c r="A82" s="12"/>
      <c r="B82" s="12"/>
      <c r="C82" s="12"/>
      <c r="D82" s="12"/>
      <c r="E82" s="12"/>
      <c r="F82" s="12"/>
      <c r="G82" s="12"/>
      <c r="H82" s="12"/>
      <c r="I82" s="12"/>
      <c r="J82" s="12"/>
      <c r="K82" s="12"/>
      <c r="L82" s="12"/>
      <c r="M82" s="12"/>
    </row>
    <row r="83" spans="1:21" customFormat="1" x14ac:dyDescent="0.25">
      <c r="A83" s="12"/>
      <c r="B83" s="12"/>
      <c r="C83" s="12"/>
      <c r="D83" s="12"/>
      <c r="E83" s="12"/>
      <c r="F83" s="12"/>
      <c r="G83" s="12"/>
      <c r="H83" s="12"/>
      <c r="I83" s="12"/>
      <c r="J83" s="12"/>
      <c r="K83" s="12"/>
      <c r="L83" s="12"/>
      <c r="M83" s="12"/>
      <c r="U83" s="30"/>
    </row>
    <row r="84" spans="1:21" customFormat="1" x14ac:dyDescent="0.25">
      <c r="A84" s="12"/>
      <c r="B84" s="12"/>
      <c r="C84" s="12"/>
      <c r="D84" s="12"/>
      <c r="E84" s="12"/>
      <c r="F84" s="12"/>
      <c r="G84" s="12"/>
      <c r="H84" s="12"/>
      <c r="I84" s="12"/>
      <c r="J84" s="12"/>
      <c r="K84" s="12"/>
      <c r="L84" s="12"/>
      <c r="M84" s="12"/>
    </row>
    <row r="85" spans="1:21" customFormat="1" x14ac:dyDescent="0.25">
      <c r="A85" s="12"/>
      <c r="B85" s="12"/>
      <c r="C85" s="12"/>
      <c r="D85" s="12"/>
      <c r="E85" s="12"/>
      <c r="F85" s="12"/>
      <c r="G85" s="12"/>
      <c r="H85" s="12"/>
      <c r="I85" s="12"/>
      <c r="J85" s="12"/>
      <c r="K85" s="12"/>
      <c r="L85" s="12"/>
      <c r="M85" s="12"/>
    </row>
    <row r="86" spans="1:21" customFormat="1" x14ac:dyDescent="0.25">
      <c r="A86" s="12"/>
      <c r="B86" s="12"/>
      <c r="C86" s="12"/>
      <c r="D86" s="12"/>
      <c r="E86" s="12"/>
      <c r="F86" s="12"/>
      <c r="G86" s="12"/>
      <c r="H86" s="12"/>
      <c r="I86" s="12"/>
      <c r="J86" s="12"/>
      <c r="K86" s="12"/>
      <c r="L86" s="12"/>
      <c r="M86" s="12"/>
    </row>
    <row r="87" spans="1:21" customFormat="1" x14ac:dyDescent="0.25">
      <c r="A87" s="12"/>
      <c r="B87" s="12"/>
      <c r="C87" s="12"/>
      <c r="D87" s="12"/>
      <c r="E87" s="12"/>
      <c r="F87" s="12"/>
      <c r="G87" s="12"/>
      <c r="H87" s="12"/>
      <c r="I87" s="12"/>
      <c r="J87" s="12"/>
      <c r="K87" s="12"/>
      <c r="L87" s="12"/>
      <c r="M87" s="12"/>
    </row>
    <row r="88" spans="1:21" customFormat="1" x14ac:dyDescent="0.25">
      <c r="A88" s="12"/>
      <c r="B88" s="12"/>
      <c r="C88" s="12"/>
      <c r="D88" s="12"/>
      <c r="E88" s="12"/>
      <c r="F88" s="12"/>
      <c r="G88" s="12"/>
      <c r="H88" s="12"/>
      <c r="I88" s="12"/>
      <c r="J88" s="12"/>
      <c r="K88" s="12"/>
      <c r="L88" s="12"/>
      <c r="M88" s="12"/>
    </row>
    <row r="89" spans="1:21" customFormat="1" x14ac:dyDescent="0.25">
      <c r="A89" s="12"/>
      <c r="B89" s="12"/>
      <c r="C89" s="12"/>
      <c r="D89" s="12"/>
      <c r="E89" s="12"/>
      <c r="F89" s="12"/>
      <c r="G89" s="12"/>
      <c r="H89" s="12"/>
      <c r="I89" s="12"/>
      <c r="J89" s="12"/>
      <c r="K89" s="12"/>
      <c r="L89" s="12"/>
      <c r="M89" s="12"/>
    </row>
    <row r="90" spans="1:21" customFormat="1" x14ac:dyDescent="0.25">
      <c r="A90" s="12"/>
      <c r="B90" s="12"/>
      <c r="C90" s="12"/>
      <c r="D90" s="12"/>
      <c r="E90" s="12"/>
      <c r="F90" s="12"/>
      <c r="G90" s="12"/>
      <c r="H90" s="12"/>
      <c r="I90" s="12"/>
      <c r="J90" s="12"/>
      <c r="K90" s="12"/>
      <c r="L90" s="12"/>
      <c r="M90" s="12"/>
    </row>
    <row r="91" spans="1:21" customFormat="1" x14ac:dyDescent="0.25">
      <c r="A91" s="12"/>
      <c r="B91" s="12"/>
      <c r="C91" s="12"/>
      <c r="D91" s="12"/>
      <c r="E91" s="12"/>
      <c r="F91" s="12"/>
      <c r="G91" s="12"/>
      <c r="H91" s="12"/>
      <c r="I91" s="12"/>
      <c r="J91" s="12"/>
      <c r="K91" s="12"/>
      <c r="L91" s="12"/>
      <c r="M91" s="12"/>
    </row>
    <row r="92" spans="1:21" customFormat="1" x14ac:dyDescent="0.25">
      <c r="A92" s="12"/>
      <c r="B92" s="12"/>
      <c r="C92" s="12"/>
      <c r="D92" s="12"/>
      <c r="E92" s="12"/>
      <c r="F92" s="12"/>
      <c r="G92" s="12"/>
      <c r="H92" s="12"/>
      <c r="I92" s="12"/>
      <c r="J92" s="12"/>
      <c r="K92" s="12"/>
      <c r="L92" s="12"/>
      <c r="M92" s="12"/>
    </row>
    <row r="93" spans="1:21" customFormat="1" x14ac:dyDescent="0.25">
      <c r="A93" s="12"/>
      <c r="B93" s="12"/>
      <c r="C93" s="12"/>
      <c r="D93" s="12"/>
      <c r="E93" s="12"/>
      <c r="F93" s="12"/>
      <c r="G93" s="12"/>
      <c r="H93" s="12"/>
      <c r="I93" s="12"/>
      <c r="J93" s="12"/>
      <c r="K93" s="12"/>
      <c r="L93" s="12"/>
      <c r="M93" s="12"/>
    </row>
    <row r="94" spans="1:21" customFormat="1" x14ac:dyDescent="0.25">
      <c r="A94" s="12"/>
      <c r="B94" s="12"/>
      <c r="C94" s="12"/>
      <c r="D94" s="12"/>
      <c r="E94" s="12"/>
      <c r="F94" s="12"/>
      <c r="G94" s="12"/>
      <c r="H94" s="12"/>
      <c r="I94" s="12"/>
      <c r="J94" s="12"/>
      <c r="K94" s="12"/>
      <c r="L94" s="12"/>
      <c r="M94" s="12"/>
    </row>
    <row r="95" spans="1:21" customFormat="1" x14ac:dyDescent="0.25">
      <c r="A95" s="12"/>
      <c r="B95" s="12"/>
      <c r="C95" s="12"/>
      <c r="D95" s="12"/>
      <c r="E95" s="12"/>
      <c r="F95" s="12"/>
      <c r="G95" s="12"/>
      <c r="H95" s="12"/>
      <c r="I95" s="12"/>
      <c r="J95" s="12"/>
      <c r="K95" s="12"/>
      <c r="L95" s="12"/>
      <c r="M95" s="12"/>
    </row>
    <row r="96" spans="1:21" customFormat="1" x14ac:dyDescent="0.25">
      <c r="A96" s="12"/>
      <c r="B96" s="12"/>
      <c r="C96" s="12"/>
      <c r="D96" s="12"/>
      <c r="E96" s="12"/>
      <c r="F96" s="12"/>
      <c r="G96" s="12"/>
      <c r="H96" s="12"/>
      <c r="I96" s="12"/>
      <c r="J96" s="12"/>
      <c r="K96" s="12"/>
      <c r="L96" s="12"/>
      <c r="M96" s="12"/>
    </row>
    <row r="97" spans="1:13" customFormat="1" x14ac:dyDescent="0.25">
      <c r="A97" s="12"/>
      <c r="B97" s="12"/>
      <c r="C97" s="12"/>
      <c r="D97" s="12"/>
      <c r="E97" s="12"/>
      <c r="F97" s="12"/>
      <c r="G97" s="12"/>
      <c r="H97" s="12"/>
      <c r="I97" s="12"/>
      <c r="J97" s="12"/>
      <c r="K97" s="12"/>
      <c r="L97" s="12"/>
      <c r="M97" s="12"/>
    </row>
    <row r="98" spans="1:13" customFormat="1" x14ac:dyDescent="0.25">
      <c r="A98" s="12"/>
      <c r="B98" s="12"/>
      <c r="C98" s="12"/>
      <c r="D98" s="12"/>
      <c r="E98" s="12"/>
      <c r="F98" s="12"/>
      <c r="G98" s="12"/>
      <c r="H98" s="12"/>
      <c r="I98" s="12"/>
      <c r="J98" s="12"/>
      <c r="K98" s="12"/>
      <c r="L98" s="12"/>
      <c r="M98" s="12"/>
    </row>
    <row r="99" spans="1:13" customFormat="1" x14ac:dyDescent="0.25">
      <c r="A99" s="12"/>
      <c r="B99" s="12"/>
      <c r="C99" s="12"/>
      <c r="D99" s="12"/>
      <c r="E99" s="12"/>
      <c r="F99" s="12"/>
      <c r="G99" s="12"/>
      <c r="H99" s="12"/>
      <c r="I99" s="12"/>
      <c r="J99" s="12"/>
      <c r="K99" s="12"/>
      <c r="L99" s="12"/>
      <c r="M99" s="12"/>
    </row>
    <row r="100" spans="1:13" customFormat="1" x14ac:dyDescent="0.25">
      <c r="A100" s="12"/>
      <c r="B100" s="12"/>
      <c r="C100" s="12"/>
      <c r="D100" s="12"/>
      <c r="E100" s="12"/>
      <c r="F100" s="12"/>
      <c r="G100" s="12"/>
      <c r="H100" s="12"/>
      <c r="I100" s="12"/>
      <c r="J100" s="12"/>
      <c r="K100" s="12"/>
      <c r="L100" s="12"/>
      <c r="M100" s="12"/>
    </row>
    <row r="101" spans="1:13" customFormat="1" x14ac:dyDescent="0.25">
      <c r="A101" s="12"/>
      <c r="B101" s="12"/>
      <c r="C101" s="12"/>
      <c r="D101" s="12"/>
      <c r="E101" s="12"/>
      <c r="F101" s="12"/>
      <c r="G101" s="12"/>
      <c r="H101" s="12"/>
      <c r="I101" s="12"/>
      <c r="J101" s="12"/>
      <c r="K101" s="12"/>
      <c r="L101" s="12"/>
      <c r="M101" s="12"/>
    </row>
    <row r="102" spans="1:13" customFormat="1" x14ac:dyDescent="0.25">
      <c r="A102" s="12"/>
      <c r="B102" s="12"/>
      <c r="C102" s="12"/>
      <c r="D102" s="12"/>
      <c r="E102" s="12"/>
      <c r="F102" s="12"/>
      <c r="G102" s="12"/>
      <c r="H102" s="12"/>
      <c r="I102" s="12"/>
      <c r="J102" s="12"/>
      <c r="K102" s="12"/>
      <c r="L102" s="12"/>
      <c r="M102" s="12"/>
    </row>
    <row r="103" spans="1:13" customFormat="1" x14ac:dyDescent="0.25">
      <c r="A103" s="12"/>
      <c r="B103" s="12"/>
      <c r="C103" s="12"/>
      <c r="D103" s="12"/>
      <c r="E103" s="12"/>
      <c r="F103" s="12"/>
      <c r="G103" s="12"/>
      <c r="H103" s="12"/>
      <c r="I103" s="12"/>
      <c r="J103" s="12"/>
      <c r="K103" s="12"/>
      <c r="L103" s="12"/>
      <c r="M103" s="12"/>
    </row>
    <row r="104" spans="1:13" customFormat="1" x14ac:dyDescent="0.25">
      <c r="A104" s="12"/>
      <c r="B104" s="12"/>
      <c r="C104" s="12"/>
      <c r="D104" s="12"/>
      <c r="E104" s="12"/>
      <c r="F104" s="12"/>
      <c r="G104" s="12"/>
      <c r="H104" s="12"/>
      <c r="I104" s="12"/>
      <c r="J104" s="12"/>
      <c r="K104" s="12"/>
      <c r="L104" s="12"/>
      <c r="M104" s="1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7"/>
  <sheetViews>
    <sheetView zoomScaleNormal="100" workbookViewId="0">
      <selection activeCell="B21" sqref="B21"/>
    </sheetView>
  </sheetViews>
  <sheetFormatPr defaultRowHeight="15" x14ac:dyDescent="0.25"/>
  <cols>
    <col min="1" max="1" width="32.5703125" style="29" customWidth="1"/>
    <col min="2" max="2" width="36" bestFit="1" customWidth="1"/>
    <col min="3" max="3" width="23.28515625" customWidth="1"/>
    <col min="4" max="4" width="7.7109375" bestFit="1" customWidth="1"/>
    <col min="6" max="6" width="36" bestFit="1" customWidth="1"/>
    <col min="7" max="7" width="23.28515625" customWidth="1"/>
    <col min="8" max="8" width="7.7109375" customWidth="1"/>
    <col min="10" max="10" width="11.28515625" customWidth="1"/>
    <col min="11" max="11" width="7.7109375" customWidth="1"/>
  </cols>
  <sheetData>
    <row r="1" spans="1:11" ht="28.5" customHeight="1" x14ac:dyDescent="0.25">
      <c r="A1" s="31" t="s">
        <v>1957</v>
      </c>
      <c r="B1" s="11" t="s">
        <v>1958</v>
      </c>
    </row>
    <row r="2" spans="1:11" ht="21" customHeight="1" x14ac:dyDescent="0.25">
      <c r="B2" s="11" t="s">
        <v>1959</v>
      </c>
    </row>
    <row r="3" spans="1:11" x14ac:dyDescent="0.25">
      <c r="B3" s="32" t="s">
        <v>1961</v>
      </c>
      <c r="C3" s="32"/>
      <c r="D3" s="32"/>
      <c r="F3" s="32" t="s">
        <v>1963</v>
      </c>
      <c r="G3" s="32"/>
      <c r="H3" s="32"/>
      <c r="J3" s="32" t="s">
        <v>1962</v>
      </c>
      <c r="K3" s="32"/>
    </row>
    <row r="4" spans="1:11" x14ac:dyDescent="0.25">
      <c r="B4" s="9" t="s">
        <v>1919</v>
      </c>
      <c r="C4" s="9" t="s">
        <v>1922</v>
      </c>
      <c r="D4" t="s">
        <v>1956</v>
      </c>
      <c r="F4" s="9" t="s">
        <v>1783</v>
      </c>
      <c r="G4" s="9" t="s">
        <v>1922</v>
      </c>
      <c r="H4" t="s">
        <v>1956</v>
      </c>
      <c r="J4" s="9" t="s">
        <v>1940</v>
      </c>
      <c r="K4" t="s">
        <v>1956</v>
      </c>
    </row>
    <row r="5" spans="1:11" x14ac:dyDescent="0.25">
      <c r="B5" t="s">
        <v>92</v>
      </c>
      <c r="D5" s="7">
        <v>1</v>
      </c>
      <c r="F5" t="s">
        <v>1448</v>
      </c>
      <c r="H5" s="7">
        <v>1</v>
      </c>
      <c r="J5" s="10" t="s">
        <v>1929</v>
      </c>
      <c r="K5" s="7">
        <v>1</v>
      </c>
    </row>
    <row r="6" spans="1:11" x14ac:dyDescent="0.25">
      <c r="C6" t="s">
        <v>1930</v>
      </c>
      <c r="D6" s="7">
        <v>1</v>
      </c>
      <c r="G6" t="s">
        <v>1930</v>
      </c>
      <c r="H6" s="7">
        <v>1</v>
      </c>
      <c r="J6" s="10" t="s">
        <v>1954</v>
      </c>
      <c r="K6" s="7">
        <v>1</v>
      </c>
    </row>
    <row r="7" spans="1:11" x14ac:dyDescent="0.25">
      <c r="B7" t="s">
        <v>1954</v>
      </c>
      <c r="D7" s="7">
        <v>1</v>
      </c>
      <c r="F7" t="s">
        <v>1954</v>
      </c>
      <c r="H7" s="7">
        <v>1</v>
      </c>
    </row>
  </sheetData>
  <mergeCells count="3">
    <mergeCell ref="B3:D3"/>
    <mergeCell ref="F3:H3"/>
    <mergeCell ref="J3:K3"/>
  </mergeCells>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Y40"/>
  <sheetViews>
    <sheetView tabSelected="1" topLeftCell="B1" zoomScaleNormal="100" workbookViewId="0">
      <selection activeCell="B2" sqref="B2"/>
    </sheetView>
  </sheetViews>
  <sheetFormatPr defaultRowHeight="15" x14ac:dyDescent="0.25"/>
  <cols>
    <col min="1" max="1" width="4.42578125" hidden="1" customWidth="1"/>
    <col min="2" max="2" width="10.5703125" bestFit="1" customWidth="1"/>
    <col min="3" max="3" width="19.5703125" customWidth="1"/>
    <col min="4" max="4" width="7" customWidth="1"/>
    <col min="5" max="5" width="14.85546875" customWidth="1"/>
    <col min="6" max="6" width="13.42578125" customWidth="1"/>
    <col min="7" max="7" width="14.42578125" customWidth="1"/>
    <col min="8" max="8" width="12.7109375" customWidth="1"/>
    <col min="9" max="9" width="16.42578125" bestFit="1" customWidth="1"/>
    <col min="10" max="10" width="10.7109375" customWidth="1"/>
    <col min="11" max="11" width="14.140625" customWidth="1"/>
    <col min="12" max="12" width="15.42578125" customWidth="1"/>
    <col min="13" max="13" width="16.42578125" customWidth="1"/>
    <col min="14" max="14" width="23.28515625" customWidth="1"/>
    <col min="15" max="15" width="8.140625" customWidth="1"/>
    <col min="16" max="16" width="8.5703125" customWidth="1"/>
    <col min="17" max="17" width="11.7109375" bestFit="1" customWidth="1"/>
    <col min="18" max="18" width="16.42578125" customWidth="1"/>
    <col min="19" max="19" width="27.85546875" customWidth="1"/>
    <col min="20" max="20" width="12.85546875" customWidth="1"/>
    <col min="21" max="21" width="30.85546875" customWidth="1"/>
    <col min="22" max="22" width="15.28515625" bestFit="1" customWidth="1"/>
    <col min="23" max="23" width="14.42578125" bestFit="1" customWidth="1"/>
    <col min="24" max="24" width="16.42578125" bestFit="1" customWidth="1"/>
    <col min="25" max="25" width="8.42578125" customWidth="1"/>
    <col min="26" max="26" width="13.7109375" customWidth="1"/>
    <col min="27" max="27" width="11.7109375" customWidth="1"/>
    <col min="28" max="28" width="12.5703125" customWidth="1"/>
  </cols>
  <sheetData>
    <row r="1" spans="1:25" ht="44.25" customHeight="1" x14ac:dyDescent="0.25">
      <c r="A1" s="6" t="s">
        <v>1955</v>
      </c>
      <c r="B1" s="5" t="s">
        <v>1109</v>
      </c>
      <c r="C1" s="8" t="s">
        <v>1919</v>
      </c>
      <c r="D1" s="5" t="s">
        <v>1113</v>
      </c>
      <c r="E1" s="5" t="s">
        <v>1950</v>
      </c>
      <c r="F1" s="6" t="s">
        <v>1783</v>
      </c>
      <c r="G1" s="6" t="s">
        <v>1939</v>
      </c>
      <c r="H1" s="6" t="s">
        <v>1953</v>
      </c>
      <c r="I1" s="6" t="s">
        <v>1922</v>
      </c>
      <c r="J1" s="6" t="s">
        <v>1627</v>
      </c>
      <c r="K1" s="6" t="s">
        <v>1920</v>
      </c>
      <c r="L1" s="6" t="s">
        <v>1921</v>
      </c>
      <c r="M1" s="6" t="s">
        <v>1923</v>
      </c>
      <c r="N1" s="6" t="s">
        <v>1924</v>
      </c>
      <c r="O1" s="6" t="s">
        <v>1925</v>
      </c>
      <c r="P1" s="6" t="s">
        <v>1940</v>
      </c>
      <c r="Q1" s="6" t="s">
        <v>1952</v>
      </c>
      <c r="R1" s="6" t="s">
        <v>1791</v>
      </c>
      <c r="S1" s="6" t="s">
        <v>1951</v>
      </c>
      <c r="T1" s="6" t="s">
        <v>1927</v>
      </c>
      <c r="U1" s="6" t="s">
        <v>1626</v>
      </c>
      <c r="V1" s="6" t="s">
        <v>1770</v>
      </c>
      <c r="W1" s="6" t="s">
        <v>1960</v>
      </c>
    </row>
    <row r="2" spans="1:25" x14ac:dyDescent="0.25">
      <c r="A2" s="14">
        <f>IF(Table1[[#This Row],[District]]&lt;&gt;"",ROW()-1,"")</f>
        <v>1</v>
      </c>
      <c r="B2" s="21" t="s">
        <v>17</v>
      </c>
      <c r="C2" s="22" t="s">
        <v>19</v>
      </c>
      <c r="D2" s="21">
        <v>1</v>
      </c>
      <c r="E2" s="21" t="s">
        <v>1964</v>
      </c>
      <c r="F2" s="23" t="s">
        <v>1448</v>
      </c>
      <c r="G2" s="21" t="s">
        <v>1448</v>
      </c>
      <c r="H2" s="21" t="s">
        <v>1448</v>
      </c>
      <c r="I2" s="21" t="s">
        <v>1931</v>
      </c>
      <c r="J2" s="21" t="s">
        <v>1187</v>
      </c>
      <c r="K2" s="24">
        <v>42524</v>
      </c>
      <c r="L2" s="24">
        <v>42531</v>
      </c>
      <c r="M2" s="22" t="s">
        <v>1965</v>
      </c>
      <c r="N2" s="23" t="s">
        <v>1966</v>
      </c>
      <c r="O2" s="21">
        <v>26</v>
      </c>
      <c r="P2" s="21" t="s">
        <v>1928</v>
      </c>
      <c r="Q2" s="21" t="s">
        <v>1967</v>
      </c>
      <c r="R2" s="22">
        <v>9823487323</v>
      </c>
      <c r="S2" s="25" t="s">
        <v>1970</v>
      </c>
      <c r="T2" s="21">
        <v>5</v>
      </c>
      <c r="U2" s="21"/>
      <c r="V2" s="13" t="str">
        <f t="array" ref="V2">INDEX(VDC_CODE,MATCH(Table1[[#This Row],[District]]&amp;Table1[[#This Row],[VDC/Municipality]],Vocab_NameList!$F$2:$F$619&amp;VDC,0))</f>
        <v>524 2 05 30 5 001</v>
      </c>
      <c r="W2" s="14" t="str">
        <f t="shared" ref="W2:W40" si="0">IF(O2="","N/A",IF(O2&lt;18,"0-17",IF(O2&lt;35,"18-34",IF(O2&lt;60,"35-59",IF(2&gt;60,"60+","N/A")))))</f>
        <v>18-34</v>
      </c>
    </row>
    <row r="3" spans="1:25" x14ac:dyDescent="0.25">
      <c r="A3" s="14">
        <f>IF(Table1[[#This Row],[District]]&lt;&gt;"",ROW()-1,"")</f>
        <v>2</v>
      </c>
      <c r="B3" s="21" t="s">
        <v>17</v>
      </c>
      <c r="C3" s="22" t="s">
        <v>92</v>
      </c>
      <c r="D3" s="21">
        <v>1</v>
      </c>
      <c r="E3" s="21" t="s">
        <v>1964</v>
      </c>
      <c r="F3" s="23" t="s">
        <v>1448</v>
      </c>
      <c r="G3" s="21" t="s">
        <v>1448</v>
      </c>
      <c r="H3" s="21" t="s">
        <v>1448</v>
      </c>
      <c r="I3" s="21" t="s">
        <v>1930</v>
      </c>
      <c r="J3" s="21" t="s">
        <v>1187</v>
      </c>
      <c r="K3" s="24">
        <v>42554</v>
      </c>
      <c r="L3" s="24">
        <v>42561</v>
      </c>
      <c r="M3" s="22" t="s">
        <v>1968</v>
      </c>
      <c r="N3" s="23" t="s">
        <v>1977</v>
      </c>
      <c r="O3" s="21">
        <v>19</v>
      </c>
      <c r="P3" s="21" t="s">
        <v>1929</v>
      </c>
      <c r="Q3" s="21" t="s">
        <v>1979</v>
      </c>
      <c r="R3" s="22">
        <v>9823487325</v>
      </c>
      <c r="S3" s="25" t="s">
        <v>1972</v>
      </c>
      <c r="T3" s="21">
        <v>5</v>
      </c>
      <c r="U3" s="21"/>
      <c r="V3" s="13" t="str">
        <f t="array" ref="V3">INDEX(VDC_CODE,MATCH(Table1[[#This Row],[District]]&amp;Table1[[#This Row],[VDC/Municipality]],Vocab_NameList!$F$2:$F$619&amp;VDC,0))</f>
        <v>524 2 05 30 5 003</v>
      </c>
      <c r="W3" s="14" t="str">
        <f t="shared" si="0"/>
        <v>18-34</v>
      </c>
      <c r="Y3" s="7"/>
    </row>
    <row r="4" spans="1:25" x14ac:dyDescent="0.25">
      <c r="A4" s="14">
        <f>IF(Table1[[#This Row],[District]]&lt;&gt;"",ROW()-1,"")</f>
        <v>3</v>
      </c>
      <c r="B4" s="21" t="s">
        <v>17</v>
      </c>
      <c r="C4" s="22" t="s">
        <v>92</v>
      </c>
      <c r="D4" s="21">
        <v>1</v>
      </c>
      <c r="E4" s="21" t="s">
        <v>1964</v>
      </c>
      <c r="F4" s="23" t="s">
        <v>1448</v>
      </c>
      <c r="G4" s="21" t="s">
        <v>1448</v>
      </c>
      <c r="H4" s="21" t="s">
        <v>1448</v>
      </c>
      <c r="I4" s="26" t="s">
        <v>1934</v>
      </c>
      <c r="J4" s="21" t="s">
        <v>1628</v>
      </c>
      <c r="K4" s="24">
        <v>42554</v>
      </c>
      <c r="L4" s="27">
        <v>42605</v>
      </c>
      <c r="M4" s="22" t="s">
        <v>1981</v>
      </c>
      <c r="N4" s="23" t="s">
        <v>1980</v>
      </c>
      <c r="O4" s="21">
        <v>60</v>
      </c>
      <c r="P4" s="21" t="s">
        <v>1928</v>
      </c>
      <c r="Q4" s="21" t="s">
        <v>1978</v>
      </c>
      <c r="R4" s="22">
        <v>9823487323</v>
      </c>
      <c r="S4" s="28" t="s">
        <v>1970</v>
      </c>
      <c r="T4" s="26">
        <v>5</v>
      </c>
      <c r="U4" s="26"/>
      <c r="V4" s="16" t="str">
        <f t="array" ref="V4">INDEX(VDC_CODE,MATCH(Table1[[#This Row],[District]]&amp;Table1[[#This Row],[VDC/Municipality]],Vocab_NameList!$F$2:$F$619&amp;VDC,0))</f>
        <v>524 2 05 30 5 003</v>
      </c>
      <c r="W4" s="17" t="str">
        <f t="shared" si="0"/>
        <v>N/A</v>
      </c>
    </row>
    <row r="5" spans="1:25" x14ac:dyDescent="0.25">
      <c r="A5" s="14" t="str">
        <f>IF(Table1[[#This Row],[District]]&lt;&gt;"",ROW()-1,"")</f>
        <v/>
      </c>
      <c r="B5" s="14"/>
      <c r="C5" s="16"/>
      <c r="D5" s="17"/>
      <c r="E5" s="16"/>
      <c r="F5" s="15"/>
      <c r="G5" s="17"/>
      <c r="H5" s="16"/>
      <c r="I5" s="17"/>
      <c r="J5" s="19"/>
      <c r="K5" s="19"/>
      <c r="L5" s="19"/>
      <c r="M5" s="16"/>
      <c r="N5" s="18"/>
      <c r="O5" s="17"/>
      <c r="P5" s="17"/>
      <c r="Q5" s="17"/>
      <c r="R5" s="16"/>
      <c r="S5" s="20"/>
      <c r="T5" s="17"/>
      <c r="U5" s="17"/>
      <c r="V5" s="16" t="e">
        <f t="array" ref="V5">INDEX(VDC_CODE,MATCH(Table1[[#This Row],[District]]&amp;Table1[[#This Row],[VDC/Municipality]],Vocab_NameList!$F$2:$F$619&amp;VDC,0))</f>
        <v>#N/A</v>
      </c>
      <c r="W5" s="17" t="str">
        <f t="shared" si="0"/>
        <v>N/A</v>
      </c>
    </row>
    <row r="6" spans="1:25" x14ac:dyDescent="0.25">
      <c r="A6" s="14" t="str">
        <f>IF(Table1[[#This Row],[District]]&lt;&gt;"",ROW()-1,"")</f>
        <v/>
      </c>
      <c r="B6" s="14"/>
      <c r="C6" s="16"/>
      <c r="D6" s="17"/>
      <c r="E6" s="16"/>
      <c r="F6" s="15"/>
      <c r="G6" s="17"/>
      <c r="H6" s="16"/>
      <c r="I6" s="17"/>
      <c r="J6" s="19"/>
      <c r="K6" s="19"/>
      <c r="L6" s="19"/>
      <c r="M6" s="16"/>
      <c r="N6" s="18"/>
      <c r="O6" s="17"/>
      <c r="P6" s="17"/>
      <c r="Q6" s="17"/>
      <c r="R6" s="16"/>
      <c r="S6" s="20"/>
      <c r="T6" s="17"/>
      <c r="U6" s="17"/>
      <c r="V6" s="16" t="e">
        <f t="array" ref="V6">INDEX(VDC_CODE,MATCH(Table1[[#This Row],[District]]&amp;Table1[[#This Row],[VDC/Municipality]],Vocab_NameList!$F$2:$F$619&amp;VDC,0))</f>
        <v>#N/A</v>
      </c>
      <c r="W6" s="17" t="str">
        <f t="shared" si="0"/>
        <v>N/A</v>
      </c>
    </row>
    <row r="7" spans="1:25" x14ac:dyDescent="0.25">
      <c r="A7" s="14" t="str">
        <f>IF(Table1[[#This Row],[District]]&lt;&gt;"",ROW()-1,"")</f>
        <v/>
      </c>
      <c r="B7" s="14"/>
      <c r="C7" s="16"/>
      <c r="D7" s="17"/>
      <c r="E7" s="16"/>
      <c r="F7" s="15"/>
      <c r="G7" s="17"/>
      <c r="H7" s="16"/>
      <c r="I7" s="17"/>
      <c r="J7" s="19"/>
      <c r="K7" s="19"/>
      <c r="L7" s="19"/>
      <c r="M7" s="16"/>
      <c r="N7" s="18"/>
      <c r="O7" s="17"/>
      <c r="P7" s="17"/>
      <c r="Q7" s="17"/>
      <c r="R7" s="16"/>
      <c r="S7" s="20"/>
      <c r="T7" s="17"/>
      <c r="U7" s="17"/>
      <c r="V7" s="16" t="e">
        <f t="array" ref="V7">INDEX(VDC_CODE,MATCH(Table1[[#This Row],[District]]&amp;Table1[[#This Row],[VDC/Municipality]],Vocab_NameList!$F$2:$F$619&amp;VDC,0))</f>
        <v>#N/A</v>
      </c>
      <c r="W7" s="17" t="str">
        <f t="shared" si="0"/>
        <v>N/A</v>
      </c>
    </row>
    <row r="8" spans="1:25" x14ac:dyDescent="0.25">
      <c r="A8" s="14" t="str">
        <f>IF(Table1[[#This Row],[District]]&lt;&gt;"",ROW()-1,"")</f>
        <v/>
      </c>
      <c r="B8" s="14"/>
      <c r="C8" s="16"/>
      <c r="D8" s="17"/>
      <c r="E8" s="16"/>
      <c r="F8" s="15"/>
      <c r="G8" s="17"/>
      <c r="H8" s="16"/>
      <c r="I8" s="17"/>
      <c r="J8" s="19"/>
      <c r="K8" s="19"/>
      <c r="L8" s="19"/>
      <c r="M8" s="16"/>
      <c r="N8" s="18"/>
      <c r="O8" s="17"/>
      <c r="P8" s="17"/>
      <c r="Q8" s="17"/>
      <c r="R8" s="16"/>
      <c r="S8" s="20"/>
      <c r="T8" s="17"/>
      <c r="U8" s="17"/>
      <c r="V8" s="16" t="e">
        <f t="array" ref="V8">INDEX(VDC_CODE,MATCH(Table1[[#This Row],[District]]&amp;Table1[[#This Row],[VDC/Municipality]],Vocab_NameList!$F$2:$F$619&amp;VDC,0))</f>
        <v>#N/A</v>
      </c>
      <c r="W8" s="17" t="str">
        <f t="shared" si="0"/>
        <v>N/A</v>
      </c>
    </row>
    <row r="9" spans="1:25" x14ac:dyDescent="0.25">
      <c r="A9" s="14" t="str">
        <f>IF(Table1[[#This Row],[District]]&lt;&gt;"",ROW()-1,"")</f>
        <v/>
      </c>
      <c r="B9" s="14"/>
      <c r="C9" s="16"/>
      <c r="D9" s="17"/>
      <c r="E9" s="16"/>
      <c r="F9" s="15"/>
      <c r="G9" s="17"/>
      <c r="H9" s="16"/>
      <c r="I9" s="17"/>
      <c r="J9" s="19"/>
      <c r="K9" s="19"/>
      <c r="L9" s="19"/>
      <c r="M9" s="16"/>
      <c r="N9" s="18"/>
      <c r="O9" s="17"/>
      <c r="P9" s="17"/>
      <c r="Q9" s="17"/>
      <c r="R9" s="16"/>
      <c r="S9" s="20"/>
      <c r="T9" s="17"/>
      <c r="U9" s="17"/>
      <c r="V9" s="16" t="e">
        <f t="array" ref="V9">INDEX(VDC_CODE,MATCH(Table1[[#This Row],[District]]&amp;Table1[[#This Row],[VDC/Municipality]],Vocab_NameList!$F$2:$F$619&amp;VDC,0))</f>
        <v>#N/A</v>
      </c>
      <c r="W9" s="17" t="str">
        <f t="shared" si="0"/>
        <v>N/A</v>
      </c>
    </row>
    <row r="10" spans="1:25" x14ac:dyDescent="0.25">
      <c r="A10" s="14" t="str">
        <f>IF(Table1[[#This Row],[District]]&lt;&gt;"",ROW()-1,"")</f>
        <v/>
      </c>
      <c r="B10" s="14"/>
      <c r="C10" s="16"/>
      <c r="D10" s="17"/>
      <c r="E10" s="16"/>
      <c r="F10" s="15"/>
      <c r="G10" s="17"/>
      <c r="H10" s="16"/>
      <c r="I10" s="17"/>
      <c r="J10" s="19"/>
      <c r="K10" s="19"/>
      <c r="L10" s="19"/>
      <c r="M10" s="16"/>
      <c r="N10" s="18"/>
      <c r="O10" s="17"/>
      <c r="P10" s="17"/>
      <c r="Q10" s="17"/>
      <c r="R10" s="16"/>
      <c r="S10" s="20"/>
      <c r="T10" s="17"/>
      <c r="U10" s="17"/>
      <c r="V10" s="16" t="e">
        <f t="array" ref="V10">INDEX(VDC_CODE,MATCH(Table1[[#This Row],[District]]&amp;Table1[[#This Row],[VDC/Municipality]],Vocab_NameList!$F$2:$F$619&amp;VDC,0))</f>
        <v>#N/A</v>
      </c>
      <c r="W10" s="17" t="str">
        <f t="shared" si="0"/>
        <v>N/A</v>
      </c>
    </row>
    <row r="11" spans="1:25" x14ac:dyDescent="0.25">
      <c r="A11" s="14" t="str">
        <f>IF(Table1[[#This Row],[District]]&lt;&gt;"",ROW()-1,"")</f>
        <v/>
      </c>
      <c r="B11" s="14"/>
      <c r="C11" s="16"/>
      <c r="D11" s="17"/>
      <c r="E11" s="16"/>
      <c r="F11" s="18"/>
      <c r="G11" s="17"/>
      <c r="H11" s="16"/>
      <c r="I11" s="17"/>
      <c r="J11" s="19"/>
      <c r="K11" s="19"/>
      <c r="L11" s="19"/>
      <c r="M11" s="16"/>
      <c r="N11" s="18"/>
      <c r="O11" s="17"/>
      <c r="P11" s="17"/>
      <c r="Q11" s="17"/>
      <c r="R11" s="16"/>
      <c r="S11" s="20"/>
      <c r="T11" s="17"/>
      <c r="U11" s="17"/>
      <c r="V11" s="16" t="e">
        <f t="array" ref="V11">INDEX(VDC_CODE,MATCH(Table1[[#This Row],[District]]&amp;Table1[[#This Row],[VDC/Municipality]],Vocab_NameList!$F$2:$F$619&amp;VDC,0))</f>
        <v>#N/A</v>
      </c>
      <c r="W11" s="17" t="str">
        <f t="shared" si="0"/>
        <v>N/A</v>
      </c>
    </row>
    <row r="12" spans="1:25" x14ac:dyDescent="0.25">
      <c r="A12" s="14" t="str">
        <f>IF(Table1[[#This Row],[District]]&lt;&gt;"",ROW()-1,"")</f>
        <v/>
      </c>
      <c r="B12" s="16"/>
      <c r="C12" s="16"/>
      <c r="D12" s="17"/>
      <c r="E12" s="16"/>
      <c r="F12" s="18"/>
      <c r="G12" s="17"/>
      <c r="H12" s="16"/>
      <c r="I12" s="17"/>
      <c r="J12" s="19"/>
      <c r="K12" s="19"/>
      <c r="L12" s="19"/>
      <c r="M12" s="16"/>
      <c r="N12" s="18"/>
      <c r="O12" s="17"/>
      <c r="P12" s="17"/>
      <c r="Q12" s="17"/>
      <c r="R12" s="16"/>
      <c r="S12" s="20"/>
      <c r="T12" s="17"/>
      <c r="U12" s="17"/>
      <c r="V12" s="16" t="e">
        <f t="array" ref="V12">INDEX(VDC_CODE,MATCH(Table1[[#This Row],[District]]&amp;Table1[[#This Row],[VDC/Municipality]],Vocab_NameList!$F$2:$F$619&amp;VDC,0))</f>
        <v>#N/A</v>
      </c>
      <c r="W12" s="17" t="str">
        <f t="shared" si="0"/>
        <v>N/A</v>
      </c>
    </row>
    <row r="13" spans="1:25" x14ac:dyDescent="0.25">
      <c r="A13" s="14" t="str">
        <f>IF(Table1[[#This Row],[District]]&lt;&gt;"",ROW()-1,"")</f>
        <v/>
      </c>
      <c r="B13" s="16"/>
      <c r="C13" s="16"/>
      <c r="D13" s="17"/>
      <c r="E13" s="16"/>
      <c r="F13" s="18"/>
      <c r="G13" s="17"/>
      <c r="H13" s="16"/>
      <c r="I13" s="17"/>
      <c r="J13" s="19"/>
      <c r="K13" s="19"/>
      <c r="L13" s="19"/>
      <c r="M13" s="16"/>
      <c r="N13" s="18"/>
      <c r="O13" s="17"/>
      <c r="P13" s="17"/>
      <c r="Q13" s="17"/>
      <c r="R13" s="16"/>
      <c r="S13" s="20"/>
      <c r="T13" s="17"/>
      <c r="U13" s="17"/>
      <c r="V13" s="16" t="e">
        <f t="array" ref="V13">INDEX(VDC_CODE,MATCH(Table1[[#This Row],[District]]&amp;Table1[[#This Row],[VDC/Municipality]],Vocab_NameList!$F$2:$F$619&amp;VDC,0))</f>
        <v>#N/A</v>
      </c>
      <c r="W13" s="17" t="str">
        <f t="shared" si="0"/>
        <v>N/A</v>
      </c>
    </row>
    <row r="14" spans="1:25" x14ac:dyDescent="0.25">
      <c r="A14" s="14" t="str">
        <f>IF(Table1[[#This Row],[District]]&lt;&gt;"",ROW()-1,"")</f>
        <v/>
      </c>
      <c r="B14" s="17"/>
      <c r="C14" s="16"/>
      <c r="D14" s="17"/>
      <c r="E14" s="17"/>
      <c r="F14" s="18"/>
      <c r="G14" s="17"/>
      <c r="H14" s="16"/>
      <c r="I14" s="17"/>
      <c r="J14" s="17"/>
      <c r="K14" s="19"/>
      <c r="L14" s="19"/>
      <c r="M14" s="16"/>
      <c r="N14" s="18"/>
      <c r="O14" s="17"/>
      <c r="P14" s="17"/>
      <c r="Q14" s="17"/>
      <c r="R14" s="16"/>
      <c r="S14" s="20"/>
      <c r="T14" s="17"/>
      <c r="U14" s="17"/>
      <c r="V14" s="16" t="e">
        <f t="array" ref="V14">INDEX(VDC_CODE,MATCH(Table1[[#This Row],[District]]&amp;Table1[[#This Row],[VDC/Municipality]],Vocab_NameList!$F$2:$F$619&amp;VDC,0))</f>
        <v>#N/A</v>
      </c>
      <c r="W14" s="17" t="str">
        <f t="shared" si="0"/>
        <v>N/A</v>
      </c>
    </row>
    <row r="15" spans="1:25" x14ac:dyDescent="0.25">
      <c r="A15" s="14" t="str">
        <f>IF(Table1[[#This Row],[District]]&lt;&gt;"",ROW()-1,"")</f>
        <v/>
      </c>
      <c r="B15" s="17"/>
      <c r="C15" s="16"/>
      <c r="D15" s="17"/>
      <c r="E15" s="17"/>
      <c r="F15" s="18"/>
      <c r="G15" s="17"/>
      <c r="H15" s="16"/>
      <c r="I15" s="17"/>
      <c r="J15" s="17"/>
      <c r="K15" s="19"/>
      <c r="L15" s="19"/>
      <c r="M15" s="16"/>
      <c r="N15" s="18"/>
      <c r="O15" s="17"/>
      <c r="P15" s="17"/>
      <c r="Q15" s="17"/>
      <c r="R15" s="16"/>
      <c r="S15" s="20"/>
      <c r="T15" s="17"/>
      <c r="U15" s="17"/>
      <c r="V15" s="16" t="e">
        <f t="array" ref="V15">INDEX(VDC_CODE,MATCH(Table1[[#This Row],[District]]&amp;Table1[[#This Row],[VDC/Municipality]],Vocab_NameList!$F$2:$F$619&amp;VDC,0))</f>
        <v>#N/A</v>
      </c>
      <c r="W15" s="17" t="str">
        <f t="shared" si="0"/>
        <v>N/A</v>
      </c>
    </row>
    <row r="16" spans="1:25" x14ac:dyDescent="0.25">
      <c r="A16" s="14" t="str">
        <f>IF(Table1[[#This Row],[District]]&lt;&gt;"",ROW()-1,"")</f>
        <v/>
      </c>
      <c r="B16" s="17"/>
      <c r="C16" s="16"/>
      <c r="D16" s="17"/>
      <c r="E16" s="17"/>
      <c r="F16" s="18"/>
      <c r="G16" s="17"/>
      <c r="H16" s="16"/>
      <c r="I16" s="17"/>
      <c r="J16" s="17"/>
      <c r="K16" s="19"/>
      <c r="L16" s="19"/>
      <c r="M16" s="16"/>
      <c r="N16" s="18"/>
      <c r="O16" s="17"/>
      <c r="P16" s="17"/>
      <c r="Q16" s="17"/>
      <c r="R16" s="16"/>
      <c r="S16" s="20"/>
      <c r="T16" s="17"/>
      <c r="U16" s="17"/>
      <c r="V16" s="16" t="e">
        <f t="array" ref="V16">INDEX(VDC_CODE,MATCH(Table1[[#This Row],[District]]&amp;Table1[[#This Row],[VDC/Municipality]],Vocab_NameList!$F$2:$F$619&amp;VDC,0))</f>
        <v>#N/A</v>
      </c>
      <c r="W16" s="17" t="str">
        <f t="shared" si="0"/>
        <v>N/A</v>
      </c>
    </row>
    <row r="17" spans="1:23" x14ac:dyDescent="0.25">
      <c r="A17" s="14" t="str">
        <f>IF(Table1[[#This Row],[District]]&lt;&gt;"",ROW()-1,"")</f>
        <v/>
      </c>
      <c r="B17" s="17"/>
      <c r="C17" s="16"/>
      <c r="D17" s="17"/>
      <c r="E17" s="17"/>
      <c r="F17" s="18"/>
      <c r="G17" s="17"/>
      <c r="H17" s="16"/>
      <c r="I17" s="17"/>
      <c r="J17" s="17"/>
      <c r="K17" s="19"/>
      <c r="L17" s="19"/>
      <c r="M17" s="16"/>
      <c r="N17" s="18"/>
      <c r="O17" s="17"/>
      <c r="P17" s="17"/>
      <c r="Q17" s="17"/>
      <c r="R17" s="16"/>
      <c r="S17" s="20"/>
      <c r="T17" s="17"/>
      <c r="U17" s="17"/>
      <c r="V17" s="16" t="e">
        <f t="array" ref="V17">INDEX(VDC_CODE,MATCH(Table1[[#This Row],[District]]&amp;Table1[[#This Row],[VDC/Municipality]],Vocab_NameList!$F$2:$F$619&amp;VDC,0))</f>
        <v>#N/A</v>
      </c>
      <c r="W17" s="17" t="str">
        <f t="shared" si="0"/>
        <v>N/A</v>
      </c>
    </row>
    <row r="18" spans="1:23" x14ac:dyDescent="0.25">
      <c r="A18" s="14" t="str">
        <f>IF(Table1[[#This Row],[District]]&lt;&gt;"",ROW()-1,"")</f>
        <v/>
      </c>
      <c r="B18" s="17"/>
      <c r="C18" s="16"/>
      <c r="D18" s="17"/>
      <c r="E18" s="17"/>
      <c r="F18" s="18"/>
      <c r="G18" s="17"/>
      <c r="H18" s="16"/>
      <c r="I18" s="17"/>
      <c r="J18" s="17"/>
      <c r="K18" s="19"/>
      <c r="L18" s="19"/>
      <c r="M18" s="16"/>
      <c r="N18" s="18"/>
      <c r="O18" s="17"/>
      <c r="P18" s="17"/>
      <c r="Q18" s="17"/>
      <c r="R18" s="16"/>
      <c r="S18" s="20"/>
      <c r="T18" s="17"/>
      <c r="U18" s="17"/>
      <c r="V18" s="16" t="e">
        <f t="array" ref="V18">INDEX(VDC_CODE,MATCH(Table1[[#This Row],[District]]&amp;Table1[[#This Row],[VDC/Municipality]],Vocab_NameList!$F$2:$F$619&amp;VDC,0))</f>
        <v>#N/A</v>
      </c>
      <c r="W18" s="17" t="str">
        <f t="shared" si="0"/>
        <v>N/A</v>
      </c>
    </row>
    <row r="19" spans="1:23" x14ac:dyDescent="0.25">
      <c r="A19" s="14" t="str">
        <f>IF(Table1[[#This Row],[District]]&lt;&gt;"",ROW()-1,"")</f>
        <v/>
      </c>
      <c r="B19" s="17"/>
      <c r="C19" s="16"/>
      <c r="D19" s="17"/>
      <c r="E19" s="17"/>
      <c r="F19" s="18"/>
      <c r="G19" s="17"/>
      <c r="H19" s="16"/>
      <c r="I19" s="17"/>
      <c r="J19" s="17"/>
      <c r="K19" s="19"/>
      <c r="L19" s="19"/>
      <c r="M19" s="16"/>
      <c r="N19" s="18"/>
      <c r="O19" s="17"/>
      <c r="P19" s="17"/>
      <c r="Q19" s="17"/>
      <c r="R19" s="16"/>
      <c r="S19" s="20"/>
      <c r="T19" s="17"/>
      <c r="U19" s="17"/>
      <c r="V19" s="16" t="e">
        <f t="array" ref="V19">INDEX(VDC_CODE,MATCH(Table1[[#This Row],[District]]&amp;Table1[[#This Row],[VDC/Municipality]],Vocab_NameList!$F$2:$F$619&amp;VDC,0))</f>
        <v>#N/A</v>
      </c>
      <c r="W19" s="17" t="str">
        <f t="shared" si="0"/>
        <v>N/A</v>
      </c>
    </row>
    <row r="20" spans="1:23" x14ac:dyDescent="0.25">
      <c r="A20" s="14" t="str">
        <f>IF(Table1[[#This Row],[District]]&lt;&gt;"",ROW()-1,"")</f>
        <v/>
      </c>
      <c r="B20" s="17"/>
      <c r="C20" s="16"/>
      <c r="D20" s="17"/>
      <c r="E20" s="17"/>
      <c r="F20" s="18"/>
      <c r="G20" s="17"/>
      <c r="H20" s="16"/>
      <c r="I20" s="17"/>
      <c r="J20" s="17"/>
      <c r="K20" s="19"/>
      <c r="L20" s="19"/>
      <c r="M20" s="16"/>
      <c r="N20" s="18"/>
      <c r="O20" s="17"/>
      <c r="P20" s="17"/>
      <c r="Q20" s="17"/>
      <c r="R20" s="16"/>
      <c r="S20" s="20"/>
      <c r="T20" s="17"/>
      <c r="U20" s="17"/>
      <c r="V20" s="16" t="e">
        <f t="array" ref="V20">INDEX(VDC_CODE,MATCH(Table1[[#This Row],[District]]&amp;Table1[[#This Row],[VDC/Municipality]],Vocab_NameList!$F$2:$F$619&amp;VDC,0))</f>
        <v>#N/A</v>
      </c>
      <c r="W20" s="17" t="str">
        <f t="shared" si="0"/>
        <v>N/A</v>
      </c>
    </row>
    <row r="21" spans="1:23" x14ac:dyDescent="0.25">
      <c r="A21" s="14" t="str">
        <f>IF(Table1[[#This Row],[District]]&lt;&gt;"",ROW()-1,"")</f>
        <v/>
      </c>
      <c r="B21" s="17"/>
      <c r="C21" s="16"/>
      <c r="D21" s="17"/>
      <c r="E21" s="17"/>
      <c r="F21" s="18"/>
      <c r="G21" s="17"/>
      <c r="H21" s="16"/>
      <c r="I21" s="17"/>
      <c r="J21" s="17"/>
      <c r="K21" s="19"/>
      <c r="L21" s="19"/>
      <c r="M21" s="16"/>
      <c r="N21" s="18"/>
      <c r="O21" s="17"/>
      <c r="P21" s="17"/>
      <c r="Q21" s="17"/>
      <c r="R21" s="16"/>
      <c r="S21" s="20"/>
      <c r="T21" s="17"/>
      <c r="U21" s="17"/>
      <c r="V21" s="16" t="e">
        <f t="array" ref="V21">INDEX(VDC_CODE,MATCH(Table1[[#This Row],[District]]&amp;Table1[[#This Row],[VDC/Municipality]],Vocab_NameList!$F$2:$F$619&amp;VDC,0))</f>
        <v>#N/A</v>
      </c>
      <c r="W21" s="17" t="str">
        <f t="shared" si="0"/>
        <v>N/A</v>
      </c>
    </row>
    <row r="22" spans="1:23" x14ac:dyDescent="0.25">
      <c r="A22" s="14" t="str">
        <f>IF(Table1[[#This Row],[District]]&lt;&gt;"",ROW()-1,"")</f>
        <v/>
      </c>
      <c r="B22" s="17"/>
      <c r="C22" s="16"/>
      <c r="D22" s="17"/>
      <c r="E22" s="17"/>
      <c r="F22" s="18"/>
      <c r="G22" s="17"/>
      <c r="H22" s="16"/>
      <c r="I22" s="17"/>
      <c r="J22" s="17"/>
      <c r="K22" s="19"/>
      <c r="L22" s="19"/>
      <c r="M22" s="16"/>
      <c r="N22" s="18"/>
      <c r="O22" s="17"/>
      <c r="P22" s="17"/>
      <c r="Q22" s="17"/>
      <c r="R22" s="16"/>
      <c r="S22" s="20"/>
      <c r="T22" s="17"/>
      <c r="U22" s="17"/>
      <c r="V22" s="16" t="e">
        <f t="array" ref="V22">INDEX(VDC_CODE,MATCH(Table1[[#This Row],[District]]&amp;Table1[[#This Row],[VDC/Municipality]],Vocab_NameList!$F$2:$F$619&amp;VDC,0))</f>
        <v>#N/A</v>
      </c>
      <c r="W22" s="17" t="str">
        <f t="shared" si="0"/>
        <v>N/A</v>
      </c>
    </row>
    <row r="23" spans="1:23" x14ac:dyDescent="0.25">
      <c r="A23" s="14" t="str">
        <f>IF(Table1[[#This Row],[District]]&lt;&gt;"",ROW()-1,"")</f>
        <v/>
      </c>
      <c r="B23" s="17"/>
      <c r="C23" s="16"/>
      <c r="D23" s="17"/>
      <c r="E23" s="17"/>
      <c r="F23" s="18"/>
      <c r="G23" s="17"/>
      <c r="H23" s="16"/>
      <c r="I23" s="17"/>
      <c r="J23" s="17"/>
      <c r="K23" s="19"/>
      <c r="L23" s="19"/>
      <c r="M23" s="16"/>
      <c r="N23" s="18"/>
      <c r="O23" s="17"/>
      <c r="P23" s="17"/>
      <c r="Q23" s="17"/>
      <c r="R23" s="16"/>
      <c r="S23" s="20"/>
      <c r="T23" s="17"/>
      <c r="U23" s="17"/>
      <c r="V23" s="16" t="e">
        <f t="array" ref="V23">INDEX(VDC_CODE,MATCH(Table1[[#This Row],[District]]&amp;Table1[[#This Row],[VDC/Municipality]],Vocab_NameList!$F$2:$F$619&amp;VDC,0))</f>
        <v>#N/A</v>
      </c>
      <c r="W23" s="17" t="str">
        <f t="shared" si="0"/>
        <v>N/A</v>
      </c>
    </row>
    <row r="24" spans="1:23" x14ac:dyDescent="0.25">
      <c r="A24" s="14" t="str">
        <f>IF(Table1[[#This Row],[District]]&lt;&gt;"",ROW()-1,"")</f>
        <v/>
      </c>
      <c r="B24" s="17"/>
      <c r="C24" s="16"/>
      <c r="D24" s="17"/>
      <c r="E24" s="17"/>
      <c r="F24" s="18"/>
      <c r="G24" s="17"/>
      <c r="H24" s="16"/>
      <c r="I24" s="17"/>
      <c r="J24" s="17"/>
      <c r="K24" s="19"/>
      <c r="L24" s="19"/>
      <c r="M24" s="16"/>
      <c r="N24" s="18"/>
      <c r="O24" s="17"/>
      <c r="P24" s="17"/>
      <c r="Q24" s="17"/>
      <c r="R24" s="16"/>
      <c r="S24" s="20"/>
      <c r="T24" s="17"/>
      <c r="U24" s="17"/>
      <c r="V24" s="16" t="e">
        <f t="array" ref="V24">INDEX(VDC_CODE,MATCH(Table1[[#This Row],[District]]&amp;Table1[[#This Row],[VDC/Municipality]],Vocab_NameList!$F$2:$F$619&amp;VDC,0))</f>
        <v>#N/A</v>
      </c>
      <c r="W24" s="17" t="str">
        <f t="shared" si="0"/>
        <v>N/A</v>
      </c>
    </row>
    <row r="25" spans="1:23" x14ac:dyDescent="0.25">
      <c r="A25" s="14" t="str">
        <f>IF(Table1[[#This Row],[District]]&lt;&gt;"",ROW()-1,"")</f>
        <v/>
      </c>
      <c r="B25" s="17"/>
      <c r="C25" s="16"/>
      <c r="D25" s="17"/>
      <c r="E25" s="17"/>
      <c r="F25" s="18"/>
      <c r="G25" s="17"/>
      <c r="H25" s="16"/>
      <c r="I25" s="17"/>
      <c r="J25" s="17"/>
      <c r="K25" s="19"/>
      <c r="L25" s="19"/>
      <c r="M25" s="16"/>
      <c r="N25" s="18"/>
      <c r="O25" s="17"/>
      <c r="P25" s="17"/>
      <c r="Q25" s="17"/>
      <c r="R25" s="16"/>
      <c r="S25" s="20"/>
      <c r="T25" s="17"/>
      <c r="U25" s="17"/>
      <c r="V25" s="16" t="e">
        <f t="array" ref="V25">INDEX(VDC_CODE,MATCH(Table1[[#This Row],[District]]&amp;Table1[[#This Row],[VDC/Municipality]],Vocab_NameList!$F$2:$F$619&amp;VDC,0))</f>
        <v>#N/A</v>
      </c>
      <c r="W25" s="17" t="str">
        <f t="shared" si="0"/>
        <v>N/A</v>
      </c>
    </row>
    <row r="26" spans="1:23" x14ac:dyDescent="0.25">
      <c r="A26" s="14" t="str">
        <f>IF(Table1[[#This Row],[District]]&lt;&gt;"",ROW()-1,"")</f>
        <v/>
      </c>
      <c r="B26" s="17"/>
      <c r="C26" s="16"/>
      <c r="D26" s="17"/>
      <c r="E26" s="17"/>
      <c r="F26" s="18"/>
      <c r="G26" s="17"/>
      <c r="H26" s="16"/>
      <c r="I26" s="17"/>
      <c r="J26" s="17"/>
      <c r="K26" s="19"/>
      <c r="L26" s="19"/>
      <c r="M26" s="16"/>
      <c r="N26" s="18"/>
      <c r="O26" s="17"/>
      <c r="P26" s="17"/>
      <c r="Q26" s="17"/>
      <c r="R26" s="16"/>
      <c r="S26" s="20"/>
      <c r="T26" s="17"/>
      <c r="U26" s="17"/>
      <c r="V26" s="16" t="e">
        <f t="array" ref="V26">INDEX(VDC_CODE,MATCH(Table1[[#This Row],[District]]&amp;Table1[[#This Row],[VDC/Municipality]],Vocab_NameList!$F$2:$F$619&amp;VDC,0))</f>
        <v>#N/A</v>
      </c>
      <c r="W26" s="17" t="str">
        <f t="shared" si="0"/>
        <v>N/A</v>
      </c>
    </row>
    <row r="27" spans="1:23" x14ac:dyDescent="0.25">
      <c r="A27" s="14" t="str">
        <f>IF(Table1[[#This Row],[District]]&lt;&gt;"",ROW()-1,"")</f>
        <v/>
      </c>
      <c r="B27" s="17"/>
      <c r="C27" s="16"/>
      <c r="D27" s="17"/>
      <c r="E27" s="17"/>
      <c r="F27" s="18"/>
      <c r="G27" s="17"/>
      <c r="H27" s="16"/>
      <c r="I27" s="17"/>
      <c r="J27" s="17"/>
      <c r="K27" s="19"/>
      <c r="L27" s="19"/>
      <c r="M27" s="16"/>
      <c r="N27" s="18"/>
      <c r="O27" s="17"/>
      <c r="P27" s="17"/>
      <c r="Q27" s="17"/>
      <c r="R27" s="16"/>
      <c r="S27" s="20"/>
      <c r="T27" s="17"/>
      <c r="U27" s="17"/>
      <c r="V27" s="16" t="e">
        <f t="array" ref="V27">INDEX(VDC_CODE,MATCH(Table1[[#This Row],[District]]&amp;Table1[[#This Row],[VDC/Municipality]],Vocab_NameList!$F$2:$F$619&amp;VDC,0))</f>
        <v>#N/A</v>
      </c>
      <c r="W27" s="17" t="str">
        <f t="shared" si="0"/>
        <v>N/A</v>
      </c>
    </row>
    <row r="28" spans="1:23" x14ac:dyDescent="0.25">
      <c r="A28" s="14" t="str">
        <f>IF(Table1[[#This Row],[District]]&lt;&gt;"",ROW()-1,"")</f>
        <v/>
      </c>
      <c r="B28" s="17"/>
      <c r="C28" s="16"/>
      <c r="D28" s="17"/>
      <c r="E28" s="17"/>
      <c r="F28" s="18"/>
      <c r="G28" s="17"/>
      <c r="H28" s="16"/>
      <c r="I28" s="17"/>
      <c r="J28" s="17"/>
      <c r="K28" s="19"/>
      <c r="L28" s="19"/>
      <c r="M28" s="16"/>
      <c r="N28" s="18"/>
      <c r="O28" s="17"/>
      <c r="P28" s="17"/>
      <c r="Q28" s="17"/>
      <c r="R28" s="16"/>
      <c r="S28" s="20"/>
      <c r="T28" s="17"/>
      <c r="U28" s="17"/>
      <c r="V28" s="16" t="e">
        <f t="array" ref="V28">INDEX(VDC_CODE,MATCH(Table1[[#This Row],[District]]&amp;Table1[[#This Row],[VDC/Municipality]],Vocab_NameList!$F$2:$F$619&amp;VDC,0))</f>
        <v>#N/A</v>
      </c>
      <c r="W28" s="17" t="str">
        <f t="shared" si="0"/>
        <v>N/A</v>
      </c>
    </row>
    <row r="29" spans="1:23" x14ac:dyDescent="0.25">
      <c r="A29" s="14" t="str">
        <f>IF(Table1[[#This Row],[District]]&lt;&gt;"",ROW()-1,"")</f>
        <v/>
      </c>
      <c r="B29" s="17"/>
      <c r="C29" s="16"/>
      <c r="D29" s="17"/>
      <c r="E29" s="17"/>
      <c r="F29" s="18"/>
      <c r="G29" s="17"/>
      <c r="H29" s="16"/>
      <c r="I29" s="17"/>
      <c r="J29" s="17"/>
      <c r="K29" s="19"/>
      <c r="L29" s="19"/>
      <c r="M29" s="16"/>
      <c r="N29" s="18"/>
      <c r="O29" s="17"/>
      <c r="P29" s="17"/>
      <c r="Q29" s="17"/>
      <c r="R29" s="16"/>
      <c r="S29" s="20"/>
      <c r="T29" s="17"/>
      <c r="U29" s="17"/>
      <c r="V29" s="16" t="e">
        <f t="array" ref="V29">INDEX(VDC_CODE,MATCH(Table1[[#This Row],[District]]&amp;Table1[[#This Row],[VDC/Municipality]],Vocab_NameList!$F$2:$F$619&amp;VDC,0))</f>
        <v>#N/A</v>
      </c>
      <c r="W29" s="17" t="str">
        <f t="shared" si="0"/>
        <v>N/A</v>
      </c>
    </row>
    <row r="30" spans="1:23" x14ac:dyDescent="0.25">
      <c r="A30" s="14" t="str">
        <f>IF(Table1[[#This Row],[District]]&lt;&gt;"",ROW()-1,"")</f>
        <v/>
      </c>
      <c r="B30" s="17"/>
      <c r="C30" s="16"/>
      <c r="D30" s="17"/>
      <c r="E30" s="17"/>
      <c r="F30" s="18"/>
      <c r="G30" s="17"/>
      <c r="H30" s="16"/>
      <c r="I30" s="17"/>
      <c r="J30" s="17"/>
      <c r="K30" s="19"/>
      <c r="L30" s="19"/>
      <c r="M30" s="16"/>
      <c r="N30" s="18"/>
      <c r="O30" s="17"/>
      <c r="P30" s="17"/>
      <c r="Q30" s="17"/>
      <c r="R30" s="16"/>
      <c r="S30" s="20"/>
      <c r="T30" s="17"/>
      <c r="U30" s="17"/>
      <c r="V30" s="16" t="e">
        <f t="array" ref="V30">INDEX(VDC_CODE,MATCH(Table1[[#This Row],[District]]&amp;Table1[[#This Row],[VDC/Municipality]],Vocab_NameList!$F$2:$F$619&amp;VDC,0))</f>
        <v>#N/A</v>
      </c>
      <c r="W30" s="17" t="str">
        <f t="shared" si="0"/>
        <v>N/A</v>
      </c>
    </row>
    <row r="31" spans="1:23" x14ac:dyDescent="0.25">
      <c r="A31" s="14" t="str">
        <f>IF(Table1[[#This Row],[District]]&lt;&gt;"",ROW()-1,"")</f>
        <v/>
      </c>
      <c r="B31" s="17"/>
      <c r="C31" s="16"/>
      <c r="D31" s="17"/>
      <c r="E31" s="17"/>
      <c r="F31" s="18"/>
      <c r="G31" s="17"/>
      <c r="H31" s="16"/>
      <c r="I31" s="17"/>
      <c r="J31" s="17"/>
      <c r="K31" s="19"/>
      <c r="L31" s="19"/>
      <c r="M31" s="16"/>
      <c r="N31" s="18"/>
      <c r="O31" s="17"/>
      <c r="P31" s="17"/>
      <c r="Q31" s="17"/>
      <c r="R31" s="16"/>
      <c r="S31" s="20"/>
      <c r="T31" s="17"/>
      <c r="U31" s="17"/>
      <c r="V31" s="16" t="e">
        <f t="array" ref="V31">INDEX(VDC_CODE,MATCH(Table1[[#This Row],[District]]&amp;Table1[[#This Row],[VDC/Municipality]],Vocab_NameList!$F$2:$F$619&amp;VDC,0))</f>
        <v>#N/A</v>
      </c>
      <c r="W31" s="17" t="str">
        <f t="shared" si="0"/>
        <v>N/A</v>
      </c>
    </row>
    <row r="32" spans="1:23" x14ac:dyDescent="0.25">
      <c r="A32" s="14" t="str">
        <f>IF(Table1[[#This Row],[District]]&lt;&gt;"",ROW()-1,"")</f>
        <v/>
      </c>
      <c r="B32" s="17"/>
      <c r="C32" s="16"/>
      <c r="D32" s="17"/>
      <c r="E32" s="17"/>
      <c r="F32" s="18"/>
      <c r="G32" s="17"/>
      <c r="H32" s="16"/>
      <c r="I32" s="17"/>
      <c r="J32" s="17"/>
      <c r="K32" s="19"/>
      <c r="L32" s="19"/>
      <c r="M32" s="16"/>
      <c r="N32" s="18"/>
      <c r="O32" s="17"/>
      <c r="P32" s="17"/>
      <c r="Q32" s="17"/>
      <c r="R32" s="16"/>
      <c r="S32" s="20"/>
      <c r="T32" s="17"/>
      <c r="U32" s="17"/>
      <c r="V32" s="16" t="e">
        <f t="array" ref="V32">INDEX(VDC_CODE,MATCH(Table1[[#This Row],[District]]&amp;Table1[[#This Row],[VDC/Municipality]],Vocab_NameList!$F$2:$F$619&amp;VDC,0))</f>
        <v>#N/A</v>
      </c>
      <c r="W32" s="17" t="str">
        <f t="shared" si="0"/>
        <v>N/A</v>
      </c>
    </row>
    <row r="33" spans="1:23" x14ac:dyDescent="0.25">
      <c r="A33" s="14" t="str">
        <f>IF(Table1[[#This Row],[District]]&lt;&gt;"",ROW()-1,"")</f>
        <v/>
      </c>
      <c r="B33" s="17"/>
      <c r="C33" s="16"/>
      <c r="D33" s="17"/>
      <c r="E33" s="17"/>
      <c r="F33" s="18"/>
      <c r="G33" s="17"/>
      <c r="H33" s="16"/>
      <c r="I33" s="17"/>
      <c r="J33" s="17"/>
      <c r="K33" s="19"/>
      <c r="L33" s="19"/>
      <c r="M33" s="16"/>
      <c r="N33" s="18"/>
      <c r="O33" s="17"/>
      <c r="P33" s="17"/>
      <c r="Q33" s="17"/>
      <c r="R33" s="16"/>
      <c r="S33" s="20"/>
      <c r="T33" s="17"/>
      <c r="U33" s="17"/>
      <c r="V33" s="16" t="e">
        <f t="array" ref="V33">INDEX(VDC_CODE,MATCH(Table1[[#This Row],[District]]&amp;Table1[[#This Row],[VDC/Municipality]],Vocab_NameList!$F$2:$F$619&amp;VDC,0))</f>
        <v>#N/A</v>
      </c>
      <c r="W33" s="17" t="str">
        <f t="shared" si="0"/>
        <v>N/A</v>
      </c>
    </row>
    <row r="34" spans="1:23" x14ac:dyDescent="0.25">
      <c r="A34" s="14" t="str">
        <f>IF(Table1[[#This Row],[District]]&lt;&gt;"",ROW()-1,"")</f>
        <v/>
      </c>
      <c r="B34" s="17"/>
      <c r="C34" s="16"/>
      <c r="D34" s="17"/>
      <c r="E34" s="17"/>
      <c r="F34" s="18"/>
      <c r="G34" s="17"/>
      <c r="H34" s="16"/>
      <c r="I34" s="17"/>
      <c r="J34" s="17"/>
      <c r="K34" s="19"/>
      <c r="L34" s="19"/>
      <c r="M34" s="16"/>
      <c r="N34" s="18"/>
      <c r="O34" s="17"/>
      <c r="P34" s="17"/>
      <c r="Q34" s="17"/>
      <c r="R34" s="16"/>
      <c r="S34" s="20"/>
      <c r="T34" s="17"/>
      <c r="U34" s="17"/>
      <c r="V34" s="16" t="e">
        <f t="array" ref="V34">INDEX(VDC_CODE,MATCH(Table1[[#This Row],[District]]&amp;Table1[[#This Row],[VDC/Municipality]],Vocab_NameList!$F$2:$F$619&amp;VDC,0))</f>
        <v>#N/A</v>
      </c>
      <c r="W34" s="17" t="str">
        <f t="shared" si="0"/>
        <v>N/A</v>
      </c>
    </row>
    <row r="35" spans="1:23" x14ac:dyDescent="0.25">
      <c r="A35" s="14" t="str">
        <f>IF(Table1[[#This Row],[District]]&lt;&gt;"",ROW()-1,"")</f>
        <v/>
      </c>
      <c r="B35" s="17"/>
      <c r="C35" s="16"/>
      <c r="D35" s="17"/>
      <c r="E35" s="17"/>
      <c r="F35" s="18"/>
      <c r="G35" s="17"/>
      <c r="H35" s="16"/>
      <c r="I35" s="17"/>
      <c r="J35" s="17"/>
      <c r="K35" s="19"/>
      <c r="L35" s="19"/>
      <c r="M35" s="16"/>
      <c r="N35" s="18"/>
      <c r="O35" s="17"/>
      <c r="P35" s="17"/>
      <c r="Q35" s="17"/>
      <c r="R35" s="16"/>
      <c r="S35" s="20"/>
      <c r="T35" s="17"/>
      <c r="U35" s="17"/>
      <c r="V35" s="16" t="e">
        <f t="array" ref="V35">INDEX(VDC_CODE,MATCH(Table1[[#This Row],[District]]&amp;Table1[[#This Row],[VDC/Municipality]],Vocab_NameList!$F$2:$F$619&amp;VDC,0))</f>
        <v>#N/A</v>
      </c>
      <c r="W35" s="17" t="str">
        <f t="shared" si="0"/>
        <v>N/A</v>
      </c>
    </row>
    <row r="36" spans="1:23" x14ac:dyDescent="0.25">
      <c r="A36" s="14" t="str">
        <f>IF(Table1[[#This Row],[District]]&lt;&gt;"",ROW()-1,"")</f>
        <v/>
      </c>
      <c r="B36" s="17"/>
      <c r="C36" s="16"/>
      <c r="D36" s="17"/>
      <c r="E36" s="17"/>
      <c r="F36" s="18"/>
      <c r="G36" s="17"/>
      <c r="H36" s="16"/>
      <c r="I36" s="17"/>
      <c r="J36" s="17"/>
      <c r="K36" s="19"/>
      <c r="L36" s="19"/>
      <c r="M36" s="16"/>
      <c r="N36" s="18"/>
      <c r="O36" s="17"/>
      <c r="P36" s="17"/>
      <c r="Q36" s="17"/>
      <c r="R36" s="16"/>
      <c r="S36" s="20"/>
      <c r="T36" s="17"/>
      <c r="U36" s="17"/>
      <c r="V36" s="16" t="e">
        <f t="array" ref="V36">INDEX(VDC_CODE,MATCH(Table1[[#This Row],[District]]&amp;Table1[[#This Row],[VDC/Municipality]],Vocab_NameList!$F$2:$F$619&amp;VDC,0))</f>
        <v>#N/A</v>
      </c>
      <c r="W36" s="17" t="str">
        <f t="shared" si="0"/>
        <v>N/A</v>
      </c>
    </row>
    <row r="37" spans="1:23" x14ac:dyDescent="0.25">
      <c r="A37" s="14" t="str">
        <f>IF(Table1[[#This Row],[District]]&lt;&gt;"",ROW()-1,"")</f>
        <v/>
      </c>
      <c r="B37" s="17"/>
      <c r="C37" s="16"/>
      <c r="D37" s="17"/>
      <c r="E37" s="17"/>
      <c r="F37" s="18"/>
      <c r="G37" s="17"/>
      <c r="H37" s="16"/>
      <c r="I37" s="17"/>
      <c r="J37" s="17"/>
      <c r="K37" s="19"/>
      <c r="L37" s="19"/>
      <c r="M37" s="16"/>
      <c r="N37" s="18"/>
      <c r="O37" s="17"/>
      <c r="P37" s="17"/>
      <c r="Q37" s="17"/>
      <c r="R37" s="16"/>
      <c r="S37" s="20"/>
      <c r="T37" s="17"/>
      <c r="U37" s="17"/>
      <c r="V37" s="16" t="e">
        <f t="array" ref="V37">INDEX(VDC_CODE,MATCH(Table1[[#This Row],[District]]&amp;Table1[[#This Row],[VDC/Municipality]],Vocab_NameList!$F$2:$F$619&amp;VDC,0))</f>
        <v>#N/A</v>
      </c>
      <c r="W37" s="17" t="str">
        <f t="shared" si="0"/>
        <v>N/A</v>
      </c>
    </row>
    <row r="38" spans="1:23" x14ac:dyDescent="0.25">
      <c r="A38" s="14" t="str">
        <f>IF(Table1[[#This Row],[District]]&lt;&gt;"",ROW()-1,"")</f>
        <v/>
      </c>
      <c r="B38" s="17"/>
      <c r="C38" s="16"/>
      <c r="D38" s="17"/>
      <c r="E38" s="17"/>
      <c r="F38" s="18"/>
      <c r="G38" s="17"/>
      <c r="H38" s="16"/>
      <c r="I38" s="17"/>
      <c r="J38" s="17"/>
      <c r="K38" s="19"/>
      <c r="L38" s="19"/>
      <c r="M38" s="16"/>
      <c r="N38" s="18"/>
      <c r="O38" s="17"/>
      <c r="P38" s="17"/>
      <c r="Q38" s="17"/>
      <c r="R38" s="16"/>
      <c r="S38" s="20"/>
      <c r="T38" s="17"/>
      <c r="U38" s="17"/>
      <c r="V38" s="16" t="e">
        <f t="array" ref="V38">INDEX(VDC_CODE,MATCH(Table1[[#This Row],[District]]&amp;Table1[[#This Row],[VDC/Municipality]],Vocab_NameList!$F$2:$F$619&amp;VDC,0))</f>
        <v>#N/A</v>
      </c>
      <c r="W38" s="17" t="str">
        <f t="shared" si="0"/>
        <v>N/A</v>
      </c>
    </row>
    <row r="39" spans="1:23" x14ac:dyDescent="0.25">
      <c r="A39" s="14" t="str">
        <f>IF(Table1[[#This Row],[District]]&lt;&gt;"",ROW()-1,"")</f>
        <v/>
      </c>
      <c r="B39" s="17"/>
      <c r="C39" s="16"/>
      <c r="D39" s="17"/>
      <c r="E39" s="17"/>
      <c r="F39" s="18"/>
      <c r="G39" s="17"/>
      <c r="H39" s="16"/>
      <c r="I39" s="17"/>
      <c r="J39" s="17"/>
      <c r="K39" s="19"/>
      <c r="L39" s="19"/>
      <c r="M39" s="16"/>
      <c r="N39" s="18"/>
      <c r="O39" s="17"/>
      <c r="P39" s="17"/>
      <c r="Q39" s="17"/>
      <c r="R39" s="16"/>
      <c r="S39" s="20"/>
      <c r="T39" s="17"/>
      <c r="U39" s="17"/>
      <c r="V39" s="16" t="e">
        <f t="array" ref="V39">INDEX(VDC_CODE,MATCH(Table1[[#This Row],[District]]&amp;Table1[[#This Row],[VDC/Municipality]],Vocab_NameList!$F$2:$F$619&amp;VDC,0))</f>
        <v>#N/A</v>
      </c>
      <c r="W39" s="17" t="str">
        <f t="shared" si="0"/>
        <v>N/A</v>
      </c>
    </row>
    <row r="40" spans="1:23" x14ac:dyDescent="0.25">
      <c r="A40" s="14" t="str">
        <f>IF(Table1[[#This Row],[District]]&lt;&gt;"",ROW()-1,"")</f>
        <v/>
      </c>
      <c r="B40" s="17"/>
      <c r="C40" s="16"/>
      <c r="D40" s="17"/>
      <c r="E40" s="17"/>
      <c r="F40" s="18"/>
      <c r="G40" s="17"/>
      <c r="H40" s="16"/>
      <c r="I40" s="17"/>
      <c r="J40" s="17"/>
      <c r="K40" s="19"/>
      <c r="L40" s="19"/>
      <c r="M40" s="16"/>
      <c r="N40" s="18"/>
      <c r="O40" s="17"/>
      <c r="P40" s="17"/>
      <c r="Q40" s="17"/>
      <c r="R40" s="16"/>
      <c r="S40" s="20"/>
      <c r="T40" s="17"/>
      <c r="U40" s="17"/>
      <c r="V40" s="16" t="e">
        <f t="array" ref="V40">INDEX(VDC_CODE,MATCH(Table1[[#This Row],[District]]&amp;Table1[[#This Row],[VDC/Municipality]],Vocab_NameList!$F$2:$F$619&amp;VDC,0))</f>
        <v>#N/A</v>
      </c>
      <c r="W40" s="17" t="str">
        <f t="shared" si="0"/>
        <v>N/A</v>
      </c>
    </row>
  </sheetData>
  <conditionalFormatting sqref="C2:C40">
    <cfRule type="expression" dxfId="33" priority="9">
      <formula>ISERROR(V2)</formula>
    </cfRule>
  </conditionalFormatting>
  <dataValidations xWindow="1378" yWindow="276" count="19">
    <dataValidation type="list" allowBlank="1" showInputMessage="1" showErrorMessage="1" promptTitle="District" prompt="Please choose the District from the dropdown list" sqref="B2:B40">
      <formula1>DISTRICT</formula1>
    </dataValidation>
    <dataValidation type="list" allowBlank="1" showInputMessage="1" promptTitle="Activity Type" prompt="Please refer to &quot;Activity_Index&quot; for further clarification." sqref="I2:I40">
      <formula1>ACTIVITY_LIST</formula1>
    </dataValidation>
    <dataValidation allowBlank="1" showInputMessage="1" showErrorMessage="1" promptTitle="Ward" prompt="Please enter Ward Nos. separated by comma, or &quot;ALL&quot; for full coverage" sqref="D2:D40"/>
    <dataValidation type="date" allowBlank="1" showInputMessage="1" showErrorMessage="1" promptTitle="End Date" prompt="Please enter the End Date of the training (mm/dd/yyyy)" sqref="L2:L40">
      <formula1>42005</formula1>
      <formula2>45658</formula2>
    </dataValidation>
    <dataValidation type="list" allowBlank="1" showInputMessage="1" showErrorMessage="1" promptTitle="Gender" prompt="Please enter the gender of the trainee" sqref="P2:P40">
      <formula1>sex</formula1>
    </dataValidation>
    <dataValidation allowBlank="1" showInputMessage="1" showErrorMessage="1" promptTitle="Citizenship No." prompt="Please enter the Citizenship No. of the trainee" sqref="M2:M40"/>
    <dataValidation allowBlank="1" showInputMessage="1" showErrorMessage="1" promptTitle="Full Name" prompt="Please enter the full name of the trainee" sqref="N2:N40"/>
    <dataValidation type="whole" allowBlank="1" showInputMessage="1" showErrorMessage="1" promptTitle="Age" prompt="Please enter the age of the trainee" sqref="O2:O40">
      <formula1>1</formula1>
      <formula2>80</formula2>
    </dataValidation>
    <dataValidation allowBlank="1" showInputMessage="1" showErrorMessage="1" promptTitle="Experience" prompt="Please indicate the experience of the trainee (no. of year/s)" sqref="T2:T40"/>
    <dataValidation type="date" allowBlank="1" showInputMessage="1" showErrorMessage="1" promptTitle="Start Date" prompt="Please enter the start date of the training (mm/dd/yyyy)" sqref="K2:K40">
      <formula1>42005</formula1>
      <formula2>45658</formula2>
    </dataValidation>
    <dataValidation allowBlank="1" showInputMessage="1" showErrorMessage="1" promptTitle="Address (Village Name)" prompt="Please enter the name of the village/settlement" sqref="E2:E40"/>
    <dataValidation allowBlank="1" showInputMessage="1" showErrorMessage="1" promptTitle="Caste" prompt="Please enter the caste of the trainee" sqref="Q2:Q40"/>
    <dataValidation allowBlank="1" showErrorMessage="1" promptTitle="District" prompt="Please choose the District from the dropdown list" sqref="A2:A40"/>
    <dataValidation allowBlank="1" showInputMessage="1" showErrorMessage="1" promptTitle="Age" prompt="Please enter the age of the trainee" sqref="W2:W40"/>
    <dataValidation allowBlank="1" showInputMessage="1" showErrorMessage="1" promptTitle="Contact Number" prompt="Please enter the contact number of the trainee" sqref="R2:R40"/>
    <dataValidation type="list" allowBlank="1" showInputMessage="1" errorTitle="Wrong Entry" error="Please select the organisation using the drop-down list." promptTitle="Acronym" prompt="Please select the organisation from the drop-down list. Refer to Sheet &quot;PO_List&quot; for details._x000a_" sqref="F2:H40">
      <formula1>PO_ACRONYM</formula1>
    </dataValidation>
    <dataValidation type="list" allowBlank="1" showInputMessage="1" showErrorMessage="1" promptTitle="VDC" prompt="Please choose the VDC Name from the dropdown list" sqref="C2:C40">
      <formula1>OFFSET(DISTRICTSTART,MATCH(B2,DISTRICTCOL,0)-2,1,COUNTIF(DISTRICTCOL,B2),1)</formula1>
    </dataValidation>
    <dataValidation type="list" allowBlank="1" showInputMessage="1" showErrorMessage="1" promptTitle="Curriculum" prompt="For trainings only - please choose the related curriculum." sqref="J2:J40">
      <formula1>OFFSET(ACTIVITY_START,MATCH(I2,ACTIVITY_CURRICULUM,0)-2,1,COUNTIF(ACTIVITY_CURRICULUM,I2),1)</formula1>
    </dataValidation>
    <dataValidation type="list" allowBlank="1" showInputMessage="1" showErrorMessage="1" promptTitle="Academic Qualification" prompt="Please select the academic qualification of trainee" sqref="S2:S40">
      <formula1>Academic_Qualifications</formula1>
    </dataValidation>
  </dataValidations>
  <pageMargins left="0.7" right="0.7" top="0.75" bottom="0.75" header="0.3" footer="0.3"/>
  <pageSetup orientation="portrait" r:id="rId1"/>
  <ignoredErrors>
    <ignoredError sqref="R5:R10" numberStoredAsText="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176" id="{A484420E-F5A0-4EC0-A449-D442E72F78E9}">
            <xm:f>ISERROR(VLOOKUP(F3,PO_List!$A$2:$A$330,1,0))</xm:f>
            <x14:dxf>
              <fill>
                <patternFill>
                  <bgColor theme="5" tint="0.79998168889431442"/>
                </patternFill>
              </fill>
            </x14:dxf>
          </x14:cfRule>
          <x14:cfRule type="expression" priority="177" id="{2F0B0263-18EA-462A-81C6-DB96514E9F7D}">
            <xm:f>ISERROR(VLOOKUP(F3,PO_List!$A$2:$A$330,1,0))</xm:f>
            <x14:dxf>
              <fill>
                <patternFill>
                  <bgColor theme="5" tint="0.79998168889431442"/>
                </patternFill>
              </fill>
            </x14:dxf>
          </x14:cfRule>
          <xm:sqref>F3:F4 F11</xm:sqref>
        </x14:conditionalFormatting>
        <x14:conditionalFormatting xmlns:xm="http://schemas.microsoft.com/office/excel/2006/main">
          <x14:cfRule type="expression" priority="188" id="{36DA0FC1-3D41-450F-8025-7FECDC603734}">
            <xm:f>ISERROR(VLOOKUP(I2,Vocab_NameList!$N$2:$N$40,1,0))</xm:f>
            <x14:dxf>
              <fill>
                <patternFill>
                  <bgColor theme="5" tint="0.79998168889431442"/>
                </patternFill>
              </fill>
            </x14:dxf>
          </x14:cfRule>
          <x14:cfRule type="expression" priority="189" id="{3D94A066-C2B4-498B-83A9-4EFFEA75EBE7}">
            <xm:f>ISERROR(VLOOKUP(I2,Vocab_NameList!$N$2:$N$40,1,0))</xm:f>
            <x14:dxf>
              <fill>
                <patternFill>
                  <bgColor theme="5" tint="0.79998168889431442"/>
                </patternFill>
              </fill>
            </x14:dxf>
          </x14:cfRule>
          <xm:sqref>I2:I40</xm:sqref>
        </x14:conditionalFormatting>
        <x14:conditionalFormatting xmlns:xm="http://schemas.microsoft.com/office/excel/2006/main">
          <x14:cfRule type="expression" priority="1" id="{53604D16-B119-43A2-A4D8-AFDFDA607250}">
            <xm:f>ISERROR(VLOOKUP(F2,PO_List!$A$2:$A$330,1,0))</xm:f>
            <x14:dxf>
              <fill>
                <patternFill>
                  <bgColor theme="5" tint="0.79998168889431442"/>
                </patternFill>
              </fill>
            </x14:dxf>
          </x14:cfRule>
          <x14:cfRule type="expression" priority="2" id="{9BFD3E1B-777C-4057-9535-0E69AC49C0A6}">
            <xm:f>ISERROR(VLOOKUP(F2,PO_List!$A$2:$A$330,1,0))</xm:f>
            <x14:dxf>
              <fill>
                <patternFill>
                  <bgColor theme="5" tint="0.79998168889431442"/>
                </patternFill>
              </fill>
            </x14:dxf>
          </x14:cfRule>
          <xm:sqref>F2:F40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B332"/>
  <sheetViews>
    <sheetView topLeftCell="A82" workbookViewId="0">
      <selection activeCell="B100" sqref="B100"/>
    </sheetView>
  </sheetViews>
  <sheetFormatPr defaultRowHeight="15" x14ac:dyDescent="0.25"/>
  <cols>
    <col min="1" max="1" width="18.5703125" bestFit="1" customWidth="1"/>
    <col min="2" max="2" width="61.28515625" bestFit="1" customWidth="1"/>
  </cols>
  <sheetData>
    <row r="1" spans="1:2" x14ac:dyDescent="0.25">
      <c r="A1" t="s">
        <v>1784</v>
      </c>
      <c r="B1" t="s">
        <v>1783</v>
      </c>
    </row>
    <row r="2" spans="1:2" x14ac:dyDescent="0.25">
      <c r="A2" t="s">
        <v>1439</v>
      </c>
      <c r="B2" t="s">
        <v>1116</v>
      </c>
    </row>
    <row r="3" spans="1:2" x14ac:dyDescent="0.25">
      <c r="A3" t="s">
        <v>1445</v>
      </c>
      <c r="B3" t="s">
        <v>1134</v>
      </c>
    </row>
    <row r="4" spans="1:2" x14ac:dyDescent="0.25">
      <c r="A4" t="s">
        <v>1391</v>
      </c>
      <c r="B4" t="s">
        <v>1114</v>
      </c>
    </row>
    <row r="5" spans="1:2" x14ac:dyDescent="0.25">
      <c r="A5" t="s">
        <v>1443</v>
      </c>
      <c r="B5" t="s">
        <v>1129</v>
      </c>
    </row>
    <row r="6" spans="1:2" x14ac:dyDescent="0.25">
      <c r="A6" t="s">
        <v>1771</v>
      </c>
      <c r="B6" t="s">
        <v>1772</v>
      </c>
    </row>
    <row r="7" spans="1:2" x14ac:dyDescent="0.25">
      <c r="A7" t="s">
        <v>1868</v>
      </c>
      <c r="B7" t="s">
        <v>1869</v>
      </c>
    </row>
    <row r="8" spans="1:2" x14ac:dyDescent="0.25">
      <c r="A8" t="s">
        <v>1796</v>
      </c>
      <c r="B8" t="s">
        <v>1796</v>
      </c>
    </row>
    <row r="9" spans="1:2" x14ac:dyDescent="0.25">
      <c r="A9" t="s">
        <v>1448</v>
      </c>
      <c r="B9" t="s">
        <v>1119</v>
      </c>
    </row>
    <row r="10" spans="1:2" x14ac:dyDescent="0.25">
      <c r="A10" t="s">
        <v>1444</v>
      </c>
      <c r="B10" t="s">
        <v>1389</v>
      </c>
    </row>
    <row r="11" spans="1:2" x14ac:dyDescent="0.25">
      <c r="A11" t="s">
        <v>1447</v>
      </c>
      <c r="B11" t="s">
        <v>1117</v>
      </c>
    </row>
    <row r="12" spans="1:2" x14ac:dyDescent="0.25">
      <c r="A12" t="s">
        <v>1392</v>
      </c>
      <c r="B12" t="s">
        <v>1118</v>
      </c>
    </row>
    <row r="13" spans="1:2" x14ac:dyDescent="0.25">
      <c r="A13" t="s">
        <v>1440</v>
      </c>
      <c r="B13" t="s">
        <v>1121</v>
      </c>
    </row>
    <row r="14" spans="1:2" x14ac:dyDescent="0.25">
      <c r="A14" t="s">
        <v>1441</v>
      </c>
      <c r="B14" t="s">
        <v>1122</v>
      </c>
    </row>
    <row r="15" spans="1:2" x14ac:dyDescent="0.25">
      <c r="A15" t="s">
        <v>1837</v>
      </c>
      <c r="B15" t="s">
        <v>1797</v>
      </c>
    </row>
    <row r="16" spans="1:2" x14ac:dyDescent="0.25">
      <c r="A16" t="s">
        <v>1120</v>
      </c>
      <c r="B16" t="s">
        <v>1120</v>
      </c>
    </row>
    <row r="17" spans="1:2" x14ac:dyDescent="0.25">
      <c r="A17" t="s">
        <v>1438</v>
      </c>
      <c r="B17" t="s">
        <v>1115</v>
      </c>
    </row>
    <row r="18" spans="1:2" x14ac:dyDescent="0.25">
      <c r="A18" t="s">
        <v>1124</v>
      </c>
      <c r="B18" t="s">
        <v>1124</v>
      </c>
    </row>
    <row r="19" spans="1:2" x14ac:dyDescent="0.25">
      <c r="A19" t="s">
        <v>1904</v>
      </c>
      <c r="B19" t="s">
        <v>1126</v>
      </c>
    </row>
    <row r="20" spans="1:2" x14ac:dyDescent="0.25">
      <c r="A20" t="s">
        <v>1453</v>
      </c>
      <c r="B20" t="s">
        <v>1132</v>
      </c>
    </row>
    <row r="21" spans="1:2" x14ac:dyDescent="0.25">
      <c r="A21" t="s">
        <v>1393</v>
      </c>
      <c r="B21" t="s">
        <v>1393</v>
      </c>
    </row>
    <row r="22" spans="1:2" x14ac:dyDescent="0.25">
      <c r="A22" t="s">
        <v>1452</v>
      </c>
      <c r="B22" t="s">
        <v>1131</v>
      </c>
    </row>
    <row r="23" spans="1:2" x14ac:dyDescent="0.25">
      <c r="A23" t="s">
        <v>1905</v>
      </c>
      <c r="B23" t="s">
        <v>1875</v>
      </c>
    </row>
    <row r="24" spans="1:2" x14ac:dyDescent="0.25">
      <c r="A24" t="s">
        <v>1454</v>
      </c>
      <c r="B24" t="s">
        <v>1133</v>
      </c>
    </row>
    <row r="25" spans="1:2" x14ac:dyDescent="0.25">
      <c r="A25" t="s">
        <v>1450</v>
      </c>
      <c r="B25" t="s">
        <v>1127</v>
      </c>
    </row>
    <row r="26" spans="1:2" x14ac:dyDescent="0.25">
      <c r="A26" t="s">
        <v>1451</v>
      </c>
      <c r="B26" t="s">
        <v>1130</v>
      </c>
    </row>
    <row r="27" spans="1:2" x14ac:dyDescent="0.25">
      <c r="A27" t="s">
        <v>1442</v>
      </c>
      <c r="B27" t="s">
        <v>1128</v>
      </c>
    </row>
    <row r="28" spans="1:2" x14ac:dyDescent="0.25">
      <c r="A28" t="s">
        <v>1446</v>
      </c>
      <c r="B28" t="s">
        <v>1136</v>
      </c>
    </row>
    <row r="29" spans="1:2" x14ac:dyDescent="0.25">
      <c r="A29" t="s">
        <v>1455</v>
      </c>
      <c r="B29" t="s">
        <v>1137</v>
      </c>
    </row>
    <row r="30" spans="1:2" x14ac:dyDescent="0.25">
      <c r="A30" t="s">
        <v>1394</v>
      </c>
      <c r="B30" t="s">
        <v>1138</v>
      </c>
    </row>
    <row r="31" spans="1:2" x14ac:dyDescent="0.25">
      <c r="A31" t="s">
        <v>1458</v>
      </c>
      <c r="B31" t="s">
        <v>1141</v>
      </c>
    </row>
    <row r="32" spans="1:2" x14ac:dyDescent="0.25">
      <c r="A32" t="s">
        <v>1465</v>
      </c>
      <c r="B32" t="s">
        <v>1774</v>
      </c>
    </row>
    <row r="33" spans="1:2" x14ac:dyDescent="0.25">
      <c r="A33" t="s">
        <v>1890</v>
      </c>
      <c r="B33" t="s">
        <v>1891</v>
      </c>
    </row>
    <row r="34" spans="1:2" x14ac:dyDescent="0.25">
      <c r="A34" t="s">
        <v>1457</v>
      </c>
      <c r="B34" t="s">
        <v>1140</v>
      </c>
    </row>
    <row r="35" spans="1:2" x14ac:dyDescent="0.25">
      <c r="A35" t="s">
        <v>1906</v>
      </c>
      <c r="B35" t="s">
        <v>1798</v>
      </c>
    </row>
    <row r="36" spans="1:2" x14ac:dyDescent="0.25">
      <c r="A36" t="s">
        <v>1773</v>
      </c>
      <c r="B36" t="s">
        <v>1773</v>
      </c>
    </row>
    <row r="37" spans="1:2" x14ac:dyDescent="0.25">
      <c r="A37" t="s">
        <v>1885</v>
      </c>
      <c r="B37" t="s">
        <v>1886</v>
      </c>
    </row>
    <row r="38" spans="1:2" x14ac:dyDescent="0.25">
      <c r="A38" t="s">
        <v>1456</v>
      </c>
      <c r="B38" t="s">
        <v>1139</v>
      </c>
    </row>
    <row r="39" spans="1:2" x14ac:dyDescent="0.25">
      <c r="A39" t="s">
        <v>1398</v>
      </c>
      <c r="B39" t="s">
        <v>1161</v>
      </c>
    </row>
    <row r="40" spans="1:2" x14ac:dyDescent="0.25">
      <c r="A40" t="s">
        <v>1142</v>
      </c>
      <c r="B40" t="s">
        <v>1142</v>
      </c>
    </row>
    <row r="41" spans="1:2" x14ac:dyDescent="0.25">
      <c r="A41" t="s">
        <v>1463</v>
      </c>
      <c r="B41" t="s">
        <v>1144</v>
      </c>
    </row>
    <row r="42" spans="1:2" x14ac:dyDescent="0.25">
      <c r="A42" t="s">
        <v>1903</v>
      </c>
      <c r="B42" t="s">
        <v>1145</v>
      </c>
    </row>
    <row r="43" spans="1:2" x14ac:dyDescent="0.25">
      <c r="A43" t="s">
        <v>1838</v>
      </c>
      <c r="B43" t="s">
        <v>1799</v>
      </c>
    </row>
    <row r="44" spans="1:2" x14ac:dyDescent="0.25">
      <c r="A44" t="s">
        <v>1462</v>
      </c>
      <c r="B44" t="s">
        <v>1146</v>
      </c>
    </row>
    <row r="45" spans="1:2" x14ac:dyDescent="0.25">
      <c r="A45" t="s">
        <v>1461</v>
      </c>
      <c r="B45" t="s">
        <v>1147</v>
      </c>
    </row>
    <row r="46" spans="1:2" x14ac:dyDescent="0.25">
      <c r="A46" t="s">
        <v>1459</v>
      </c>
      <c r="B46" t="s">
        <v>1148</v>
      </c>
    </row>
    <row r="47" spans="1:2" x14ac:dyDescent="0.25">
      <c r="A47" t="s">
        <v>1460</v>
      </c>
      <c r="B47" t="s">
        <v>1149</v>
      </c>
    </row>
    <row r="48" spans="1:2" x14ac:dyDescent="0.25">
      <c r="A48" t="s">
        <v>1475</v>
      </c>
      <c r="B48" t="s">
        <v>1166</v>
      </c>
    </row>
    <row r="49" spans="1:2" x14ac:dyDescent="0.25">
      <c r="A49" t="s">
        <v>1481</v>
      </c>
      <c r="B49" t="s">
        <v>1170</v>
      </c>
    </row>
    <row r="50" spans="1:2" x14ac:dyDescent="0.25">
      <c r="A50" t="s">
        <v>1800</v>
      </c>
      <c r="B50" t="s">
        <v>1800</v>
      </c>
    </row>
    <row r="51" spans="1:2" x14ac:dyDescent="0.25">
      <c r="A51" t="s">
        <v>1151</v>
      </c>
      <c r="B51" t="s">
        <v>1151</v>
      </c>
    </row>
    <row r="52" spans="1:2" x14ac:dyDescent="0.25">
      <c r="A52" t="s">
        <v>1467</v>
      </c>
      <c r="B52" t="s">
        <v>1152</v>
      </c>
    </row>
    <row r="53" spans="1:2" x14ac:dyDescent="0.25">
      <c r="A53" t="s">
        <v>1396</v>
      </c>
      <c r="B53" t="s">
        <v>1153</v>
      </c>
    </row>
    <row r="54" spans="1:2" x14ac:dyDescent="0.25">
      <c r="A54" t="s">
        <v>1907</v>
      </c>
      <c r="B54" t="s">
        <v>1154</v>
      </c>
    </row>
    <row r="55" spans="1:2" x14ac:dyDescent="0.25">
      <c r="A55" t="s">
        <v>1400</v>
      </c>
      <c r="B55" t="s">
        <v>1167</v>
      </c>
    </row>
    <row r="56" spans="1:2" x14ac:dyDescent="0.25">
      <c r="A56" t="s">
        <v>1471</v>
      </c>
      <c r="B56" t="s">
        <v>1156</v>
      </c>
    </row>
    <row r="57" spans="1:2" x14ac:dyDescent="0.25">
      <c r="A57" t="s">
        <v>1155</v>
      </c>
      <c r="B57" t="s">
        <v>1801</v>
      </c>
    </row>
    <row r="58" spans="1:2" x14ac:dyDescent="0.25">
      <c r="A58" t="s">
        <v>1474</v>
      </c>
      <c r="B58" t="s">
        <v>1163</v>
      </c>
    </row>
    <row r="59" spans="1:2" x14ac:dyDescent="0.25">
      <c r="A59" t="s">
        <v>1479</v>
      </c>
      <c r="B59" t="s">
        <v>1157</v>
      </c>
    </row>
    <row r="60" spans="1:2" x14ac:dyDescent="0.25">
      <c r="A60" t="s">
        <v>1472</v>
      </c>
      <c r="B60" t="s">
        <v>1158</v>
      </c>
    </row>
    <row r="61" spans="1:2" x14ac:dyDescent="0.25">
      <c r="A61" t="s">
        <v>1397</v>
      </c>
      <c r="B61" t="s">
        <v>1162</v>
      </c>
    </row>
    <row r="62" spans="1:2" x14ac:dyDescent="0.25">
      <c r="A62" t="s">
        <v>1473</v>
      </c>
      <c r="B62" t="s">
        <v>1159</v>
      </c>
    </row>
    <row r="63" spans="1:2" x14ac:dyDescent="0.25">
      <c r="A63" t="s">
        <v>1469</v>
      </c>
      <c r="B63" t="s">
        <v>1470</v>
      </c>
    </row>
    <row r="64" spans="1:2" x14ac:dyDescent="0.25">
      <c r="A64" t="s">
        <v>1480</v>
      </c>
      <c r="B64" t="s">
        <v>1160</v>
      </c>
    </row>
    <row r="65" spans="1:2" x14ac:dyDescent="0.25">
      <c r="A65" t="s">
        <v>1477</v>
      </c>
      <c r="B65" t="s">
        <v>1478</v>
      </c>
    </row>
    <row r="66" spans="1:2" x14ac:dyDescent="0.25">
      <c r="A66" t="s">
        <v>1464</v>
      </c>
      <c r="B66" t="s">
        <v>1143</v>
      </c>
    </row>
    <row r="67" spans="1:2" x14ac:dyDescent="0.25">
      <c r="A67" t="s">
        <v>1482</v>
      </c>
      <c r="B67" t="s">
        <v>1173</v>
      </c>
    </row>
    <row r="68" spans="1:2" x14ac:dyDescent="0.25">
      <c r="A68" t="s">
        <v>1164</v>
      </c>
      <c r="B68" t="s">
        <v>1164</v>
      </c>
    </row>
    <row r="69" spans="1:2" x14ac:dyDescent="0.25">
      <c r="A69" t="s">
        <v>1402</v>
      </c>
      <c r="B69" t="s">
        <v>1171</v>
      </c>
    </row>
    <row r="70" spans="1:2" x14ac:dyDescent="0.25">
      <c r="A70" t="s">
        <v>1172</v>
      </c>
      <c r="B70" t="s">
        <v>1172</v>
      </c>
    </row>
    <row r="71" spans="1:2" x14ac:dyDescent="0.25">
      <c r="A71" t="s">
        <v>1839</v>
      </c>
      <c r="B71" t="s">
        <v>1802</v>
      </c>
    </row>
    <row r="72" spans="1:2" x14ac:dyDescent="0.25">
      <c r="A72" t="s">
        <v>1466</v>
      </c>
      <c r="B72" t="s">
        <v>1150</v>
      </c>
    </row>
    <row r="73" spans="1:2" x14ac:dyDescent="0.25">
      <c r="A73" t="s">
        <v>1174</v>
      </c>
      <c r="B73" t="s">
        <v>1174</v>
      </c>
    </row>
    <row r="74" spans="1:2" x14ac:dyDescent="0.25">
      <c r="A74" t="s">
        <v>1876</v>
      </c>
      <c r="B74" t="s">
        <v>1168</v>
      </c>
    </row>
    <row r="75" spans="1:2" x14ac:dyDescent="0.25">
      <c r="A75" t="s">
        <v>1628</v>
      </c>
      <c r="B75" t="s">
        <v>1884</v>
      </c>
    </row>
    <row r="76" spans="1:2" x14ac:dyDescent="0.25">
      <c r="A76" t="s">
        <v>1399</v>
      </c>
      <c r="B76" t="s">
        <v>1165</v>
      </c>
    </row>
    <row r="77" spans="1:2" x14ac:dyDescent="0.25">
      <c r="A77" t="s">
        <v>1401</v>
      </c>
      <c r="B77" t="s">
        <v>1169</v>
      </c>
    </row>
    <row r="78" spans="1:2" x14ac:dyDescent="0.25">
      <c r="A78" t="s">
        <v>1908</v>
      </c>
      <c r="B78" t="s">
        <v>1175</v>
      </c>
    </row>
    <row r="79" spans="1:2" x14ac:dyDescent="0.25">
      <c r="A79" t="s">
        <v>1403</v>
      </c>
      <c r="B79" t="s">
        <v>1176</v>
      </c>
    </row>
    <row r="80" spans="1:2" x14ac:dyDescent="0.25">
      <c r="A80" t="s">
        <v>1544</v>
      </c>
      <c r="B80" t="s">
        <v>1185</v>
      </c>
    </row>
    <row r="81" spans="1:2" x14ac:dyDescent="0.25">
      <c r="A81" t="s">
        <v>1177</v>
      </c>
      <c r="B81" t="s">
        <v>1177</v>
      </c>
    </row>
    <row r="82" spans="1:2" x14ac:dyDescent="0.25">
      <c r="A82" t="s">
        <v>1539</v>
      </c>
      <c r="B82" t="s">
        <v>1186</v>
      </c>
    </row>
    <row r="83" spans="1:2" x14ac:dyDescent="0.25">
      <c r="A83" t="s">
        <v>1178</v>
      </c>
      <c r="B83" t="s">
        <v>1178</v>
      </c>
    </row>
    <row r="84" spans="1:2" x14ac:dyDescent="0.25">
      <c r="A84" t="s">
        <v>1803</v>
      </c>
      <c r="B84" t="s">
        <v>1803</v>
      </c>
    </row>
    <row r="85" spans="1:2" x14ac:dyDescent="0.25">
      <c r="A85" t="s">
        <v>1545</v>
      </c>
      <c r="B85" t="s">
        <v>1188</v>
      </c>
    </row>
    <row r="86" spans="1:2" x14ac:dyDescent="0.25">
      <c r="A86" t="s">
        <v>1181</v>
      </c>
      <c r="B86" t="s">
        <v>1181</v>
      </c>
    </row>
    <row r="87" spans="1:2" x14ac:dyDescent="0.25">
      <c r="A87" t="s">
        <v>1541</v>
      </c>
      <c r="B87" t="s">
        <v>1182</v>
      </c>
    </row>
    <row r="88" spans="1:2" x14ac:dyDescent="0.25">
      <c r="A88" t="s">
        <v>1540</v>
      </c>
      <c r="B88" t="s">
        <v>1180</v>
      </c>
    </row>
    <row r="89" spans="1:2" x14ac:dyDescent="0.25">
      <c r="A89" t="s">
        <v>1543</v>
      </c>
      <c r="B89" t="s">
        <v>1184</v>
      </c>
    </row>
    <row r="90" spans="1:2" x14ac:dyDescent="0.25">
      <c r="A90" t="s">
        <v>1542</v>
      </c>
      <c r="B90" t="s">
        <v>1183</v>
      </c>
    </row>
    <row r="91" spans="1:2" x14ac:dyDescent="0.25">
      <c r="A91" t="s">
        <v>1546</v>
      </c>
      <c r="B91" t="s">
        <v>1189</v>
      </c>
    </row>
    <row r="92" spans="1:2" x14ac:dyDescent="0.25">
      <c r="A92" t="s">
        <v>1887</v>
      </c>
      <c r="B92" t="s">
        <v>1888</v>
      </c>
    </row>
    <row r="93" spans="1:2" x14ac:dyDescent="0.25">
      <c r="A93" t="s">
        <v>1538</v>
      </c>
      <c r="B93" t="s">
        <v>1179</v>
      </c>
    </row>
    <row r="94" spans="1:2" x14ac:dyDescent="0.25">
      <c r="A94" t="s">
        <v>1547</v>
      </c>
      <c r="B94" t="s">
        <v>1190</v>
      </c>
    </row>
    <row r="95" spans="1:2" x14ac:dyDescent="0.25">
      <c r="A95" t="s">
        <v>1187</v>
      </c>
      <c r="B95" t="s">
        <v>1187</v>
      </c>
    </row>
    <row r="96" spans="1:2" x14ac:dyDescent="0.25">
      <c r="A96" t="s">
        <v>1552</v>
      </c>
      <c r="B96" t="s">
        <v>1197</v>
      </c>
    </row>
    <row r="97" spans="1:2" x14ac:dyDescent="0.25">
      <c r="A97" t="s">
        <v>1549</v>
      </c>
      <c r="B97" t="s">
        <v>1194</v>
      </c>
    </row>
    <row r="98" spans="1:2" x14ac:dyDescent="0.25">
      <c r="A98" t="s">
        <v>1191</v>
      </c>
      <c r="B98" t="s">
        <v>1191</v>
      </c>
    </row>
    <row r="99" spans="1:2" x14ac:dyDescent="0.25">
      <c r="A99" t="s">
        <v>1556</v>
      </c>
      <c r="B99" t="s">
        <v>1202</v>
      </c>
    </row>
    <row r="100" spans="1:2" x14ac:dyDescent="0.25">
      <c r="A100" t="s">
        <v>1776</v>
      </c>
      <c r="B100" t="s">
        <v>1775</v>
      </c>
    </row>
    <row r="101" spans="1:2" x14ac:dyDescent="0.25">
      <c r="A101" t="s">
        <v>1557</v>
      </c>
      <c r="B101" t="s">
        <v>1203</v>
      </c>
    </row>
    <row r="102" spans="1:2" x14ac:dyDescent="0.25">
      <c r="A102" t="s">
        <v>1909</v>
      </c>
      <c r="B102" t="s">
        <v>1804</v>
      </c>
    </row>
    <row r="103" spans="1:2" x14ac:dyDescent="0.25">
      <c r="A103" t="s">
        <v>1548</v>
      </c>
      <c r="B103" t="s">
        <v>1193</v>
      </c>
    </row>
    <row r="104" spans="1:2" x14ac:dyDescent="0.25">
      <c r="A104" t="s">
        <v>1553</v>
      </c>
      <c r="B104" t="s">
        <v>1198</v>
      </c>
    </row>
    <row r="105" spans="1:2" x14ac:dyDescent="0.25">
      <c r="A105" t="s">
        <v>1877</v>
      </c>
      <c r="B105" t="s">
        <v>1878</v>
      </c>
    </row>
    <row r="106" spans="1:2" x14ac:dyDescent="0.25">
      <c r="A106" t="s">
        <v>1551</v>
      </c>
      <c r="B106" t="s">
        <v>1196</v>
      </c>
    </row>
    <row r="107" spans="1:2" x14ac:dyDescent="0.25">
      <c r="A107" t="s">
        <v>1805</v>
      </c>
      <c r="B107" t="s">
        <v>1805</v>
      </c>
    </row>
    <row r="108" spans="1:2" x14ac:dyDescent="0.25">
      <c r="A108" t="s">
        <v>1199</v>
      </c>
      <c r="B108" t="s">
        <v>1199</v>
      </c>
    </row>
    <row r="109" spans="1:2" x14ac:dyDescent="0.25">
      <c r="A109" t="s">
        <v>1555</v>
      </c>
      <c r="B109" t="s">
        <v>1200</v>
      </c>
    </row>
    <row r="110" spans="1:2" x14ac:dyDescent="0.25">
      <c r="A110" t="s">
        <v>1554</v>
      </c>
      <c r="B110" t="s">
        <v>1201</v>
      </c>
    </row>
    <row r="111" spans="1:2" x14ac:dyDescent="0.25">
      <c r="A111" t="s">
        <v>1204</v>
      </c>
      <c r="B111" t="s">
        <v>1204</v>
      </c>
    </row>
    <row r="112" spans="1:2" x14ac:dyDescent="0.25">
      <c r="A112" t="s">
        <v>1558</v>
      </c>
      <c r="B112" t="s">
        <v>1205</v>
      </c>
    </row>
    <row r="113" spans="1:2" x14ac:dyDescent="0.25">
      <c r="A113" t="s">
        <v>1561</v>
      </c>
      <c r="B113" t="s">
        <v>1208</v>
      </c>
    </row>
    <row r="114" spans="1:2" x14ac:dyDescent="0.25">
      <c r="A114" t="s">
        <v>1559</v>
      </c>
      <c r="B114" t="s">
        <v>1206</v>
      </c>
    </row>
    <row r="115" spans="1:2" x14ac:dyDescent="0.25">
      <c r="A115" t="s">
        <v>1560</v>
      </c>
      <c r="B115" t="s">
        <v>1207</v>
      </c>
    </row>
    <row r="116" spans="1:2" x14ac:dyDescent="0.25">
      <c r="A116" t="s">
        <v>1562</v>
      </c>
      <c r="B116" t="s">
        <v>1210</v>
      </c>
    </row>
    <row r="117" spans="1:2" x14ac:dyDescent="0.25">
      <c r="A117" t="s">
        <v>1840</v>
      </c>
      <c r="B117" t="s">
        <v>1806</v>
      </c>
    </row>
    <row r="118" spans="1:2" x14ac:dyDescent="0.25">
      <c r="A118" t="s">
        <v>1404</v>
      </c>
      <c r="B118" t="s">
        <v>1211</v>
      </c>
    </row>
    <row r="119" spans="1:2" x14ac:dyDescent="0.25">
      <c r="A119" t="s">
        <v>1405</v>
      </c>
      <c r="B119" t="s">
        <v>1209</v>
      </c>
    </row>
    <row r="120" spans="1:2" x14ac:dyDescent="0.25">
      <c r="A120" t="s">
        <v>1883</v>
      </c>
      <c r="B120" t="s">
        <v>1882</v>
      </c>
    </row>
    <row r="121" spans="1:2" x14ac:dyDescent="0.25">
      <c r="A121" t="s">
        <v>1566</v>
      </c>
      <c r="B121" t="s">
        <v>1220</v>
      </c>
    </row>
    <row r="122" spans="1:2" x14ac:dyDescent="0.25">
      <c r="A122" t="s">
        <v>1565</v>
      </c>
      <c r="B122" t="s">
        <v>1218</v>
      </c>
    </row>
    <row r="123" spans="1:2" x14ac:dyDescent="0.25">
      <c r="A123" t="s">
        <v>1564</v>
      </c>
      <c r="B123" t="s">
        <v>1214</v>
      </c>
    </row>
    <row r="124" spans="1:2" x14ac:dyDescent="0.25">
      <c r="A124" t="s">
        <v>1215</v>
      </c>
      <c r="B124" t="s">
        <v>1215</v>
      </c>
    </row>
    <row r="125" spans="1:2" x14ac:dyDescent="0.25">
      <c r="A125" t="s">
        <v>1406</v>
      </c>
      <c r="B125" t="s">
        <v>1219</v>
      </c>
    </row>
    <row r="126" spans="1:2" x14ac:dyDescent="0.25">
      <c r="A126" t="s">
        <v>1212</v>
      </c>
      <c r="B126" t="s">
        <v>1212</v>
      </c>
    </row>
    <row r="127" spans="1:2" x14ac:dyDescent="0.25">
      <c r="A127" t="s">
        <v>1216</v>
      </c>
      <c r="B127" t="s">
        <v>1216</v>
      </c>
    </row>
    <row r="128" spans="1:2" x14ac:dyDescent="0.25">
      <c r="A128" t="s">
        <v>1899</v>
      </c>
      <c r="B128" t="s">
        <v>1916</v>
      </c>
    </row>
    <row r="129" spans="1:2" x14ac:dyDescent="0.25">
      <c r="A129" t="s">
        <v>1841</v>
      </c>
      <c r="B129" t="s">
        <v>1807</v>
      </c>
    </row>
    <row r="130" spans="1:2" x14ac:dyDescent="0.25">
      <c r="A130" t="s">
        <v>1571</v>
      </c>
      <c r="B130" t="s">
        <v>1226</v>
      </c>
    </row>
    <row r="131" spans="1:2" x14ac:dyDescent="0.25">
      <c r="A131" t="s">
        <v>1568</v>
      </c>
      <c r="B131" t="s">
        <v>1223</v>
      </c>
    </row>
    <row r="132" spans="1:2" x14ac:dyDescent="0.25">
      <c r="A132" t="s">
        <v>1569</v>
      </c>
      <c r="B132" t="s">
        <v>1224</v>
      </c>
    </row>
    <row r="133" spans="1:2" x14ac:dyDescent="0.25">
      <c r="A133" t="s">
        <v>1408</v>
      </c>
      <c r="B133" t="s">
        <v>1225</v>
      </c>
    </row>
    <row r="134" spans="1:2" x14ac:dyDescent="0.25">
      <c r="A134" t="s">
        <v>1567</v>
      </c>
      <c r="B134" t="s">
        <v>1221</v>
      </c>
    </row>
    <row r="135" spans="1:2" x14ac:dyDescent="0.25">
      <c r="A135" t="s">
        <v>1572</v>
      </c>
      <c r="B135" t="s">
        <v>1227</v>
      </c>
    </row>
    <row r="136" spans="1:2" x14ac:dyDescent="0.25">
      <c r="A136" t="s">
        <v>1407</v>
      </c>
      <c r="B136" t="s">
        <v>1222</v>
      </c>
    </row>
    <row r="137" spans="1:2" x14ac:dyDescent="0.25">
      <c r="A137" t="s">
        <v>1228</v>
      </c>
      <c r="B137" t="s">
        <v>1228</v>
      </c>
    </row>
    <row r="138" spans="1:2" x14ac:dyDescent="0.25">
      <c r="A138" t="s">
        <v>1573</v>
      </c>
      <c r="B138" t="s">
        <v>1229</v>
      </c>
    </row>
    <row r="139" spans="1:2" x14ac:dyDescent="0.25">
      <c r="A139" t="s">
        <v>1574</v>
      </c>
      <c r="B139" t="s">
        <v>1230</v>
      </c>
    </row>
    <row r="140" spans="1:2" x14ac:dyDescent="0.25">
      <c r="A140" t="s">
        <v>1570</v>
      </c>
      <c r="B140" t="s">
        <v>1231</v>
      </c>
    </row>
    <row r="141" spans="1:2" x14ac:dyDescent="0.25">
      <c r="A141" t="s">
        <v>1866</v>
      </c>
      <c r="B141" t="s">
        <v>1867</v>
      </c>
    </row>
    <row r="142" spans="1:2" x14ac:dyDescent="0.25">
      <c r="A142" t="s">
        <v>1586</v>
      </c>
      <c r="B142" t="s">
        <v>1236</v>
      </c>
    </row>
    <row r="143" spans="1:2" x14ac:dyDescent="0.25">
      <c r="A143" t="s">
        <v>1587</v>
      </c>
      <c r="B143" t="s">
        <v>1237</v>
      </c>
    </row>
    <row r="144" spans="1:2" x14ac:dyDescent="0.25">
      <c r="A144" t="s">
        <v>1232</v>
      </c>
      <c r="B144" t="s">
        <v>1232</v>
      </c>
    </row>
    <row r="145" spans="1:2" x14ac:dyDescent="0.25">
      <c r="A145" t="s">
        <v>1409</v>
      </c>
      <c r="B145" t="s">
        <v>1238</v>
      </c>
    </row>
    <row r="146" spans="1:2" x14ac:dyDescent="0.25">
      <c r="A146" t="s">
        <v>1575</v>
      </c>
      <c r="B146" t="s">
        <v>1233</v>
      </c>
    </row>
    <row r="147" spans="1:2" x14ac:dyDescent="0.25">
      <c r="A147" t="s">
        <v>1235</v>
      </c>
      <c r="B147" t="s">
        <v>1235</v>
      </c>
    </row>
    <row r="148" spans="1:2" x14ac:dyDescent="0.25">
      <c r="A148" t="s">
        <v>1410</v>
      </c>
      <c r="B148" t="s">
        <v>1239</v>
      </c>
    </row>
    <row r="149" spans="1:2" x14ac:dyDescent="0.25">
      <c r="A149" t="s">
        <v>1240</v>
      </c>
      <c r="B149" t="s">
        <v>1234</v>
      </c>
    </row>
    <row r="150" spans="1:2" x14ac:dyDescent="0.25">
      <c r="A150" t="s">
        <v>1241</v>
      </c>
      <c r="B150" t="s">
        <v>1241</v>
      </c>
    </row>
    <row r="151" spans="1:2" x14ac:dyDescent="0.25">
      <c r="A151" t="s">
        <v>1242</v>
      </c>
      <c r="B151" t="s">
        <v>1242</v>
      </c>
    </row>
    <row r="152" spans="1:2" x14ac:dyDescent="0.25">
      <c r="A152" t="s">
        <v>1917</v>
      </c>
      <c r="B152" t="s">
        <v>1918</v>
      </c>
    </row>
    <row r="153" spans="1:2" x14ac:dyDescent="0.25">
      <c r="A153" t="s">
        <v>1588</v>
      </c>
      <c r="B153" t="s">
        <v>1243</v>
      </c>
    </row>
    <row r="154" spans="1:2" x14ac:dyDescent="0.25">
      <c r="A154" t="s">
        <v>1589</v>
      </c>
      <c r="B154" t="s">
        <v>1244</v>
      </c>
    </row>
    <row r="155" spans="1:2" x14ac:dyDescent="0.25">
      <c r="A155" t="s">
        <v>1842</v>
      </c>
      <c r="B155" t="s">
        <v>1808</v>
      </c>
    </row>
    <row r="156" spans="1:2" x14ac:dyDescent="0.25">
      <c r="A156" t="s">
        <v>1592</v>
      </c>
      <c r="B156" t="s">
        <v>1246</v>
      </c>
    </row>
    <row r="157" spans="1:2" x14ac:dyDescent="0.25">
      <c r="A157" t="s">
        <v>1593</v>
      </c>
      <c r="B157" t="s">
        <v>1248</v>
      </c>
    </row>
    <row r="158" spans="1:2" x14ac:dyDescent="0.25">
      <c r="A158" t="s">
        <v>1793</v>
      </c>
      <c r="B158" t="s">
        <v>1792</v>
      </c>
    </row>
    <row r="159" spans="1:2" x14ac:dyDescent="0.25">
      <c r="A159" t="s">
        <v>1910</v>
      </c>
      <c r="B159" t="s">
        <v>1245</v>
      </c>
    </row>
    <row r="160" spans="1:2" x14ac:dyDescent="0.25">
      <c r="A160" t="s">
        <v>1911</v>
      </c>
      <c r="B160" t="s">
        <v>1247</v>
      </c>
    </row>
    <row r="161" spans="1:2" x14ac:dyDescent="0.25">
      <c r="A161" t="s">
        <v>1843</v>
      </c>
      <c r="B161" t="s">
        <v>1809</v>
      </c>
    </row>
    <row r="162" spans="1:2" x14ac:dyDescent="0.25">
      <c r="A162" t="s">
        <v>1595</v>
      </c>
      <c r="B162" t="s">
        <v>1249</v>
      </c>
    </row>
    <row r="163" spans="1:2" x14ac:dyDescent="0.25">
      <c r="A163" t="s">
        <v>1844</v>
      </c>
      <c r="B163" t="s">
        <v>1810</v>
      </c>
    </row>
    <row r="164" spans="1:2" x14ac:dyDescent="0.25">
      <c r="A164" t="s">
        <v>1845</v>
      </c>
      <c r="B164" t="s">
        <v>1811</v>
      </c>
    </row>
    <row r="165" spans="1:2" x14ac:dyDescent="0.25">
      <c r="A165" t="s">
        <v>1600</v>
      </c>
      <c r="B165" t="s">
        <v>1252</v>
      </c>
    </row>
    <row r="166" spans="1:2" x14ac:dyDescent="0.25">
      <c r="A166" t="s">
        <v>1597</v>
      </c>
      <c r="B166" t="s">
        <v>1254</v>
      </c>
    </row>
    <row r="167" spans="1:2" x14ac:dyDescent="0.25">
      <c r="A167" t="s">
        <v>1598</v>
      </c>
      <c r="B167" t="s">
        <v>1255</v>
      </c>
    </row>
    <row r="168" spans="1:2" x14ac:dyDescent="0.25">
      <c r="A168" t="s">
        <v>1596</v>
      </c>
      <c r="B168" t="s">
        <v>1251</v>
      </c>
    </row>
    <row r="169" spans="1:2" x14ac:dyDescent="0.25">
      <c r="A169" t="s">
        <v>1412</v>
      </c>
      <c r="B169" t="s">
        <v>1250</v>
      </c>
    </row>
    <row r="170" spans="1:2" x14ac:dyDescent="0.25">
      <c r="A170" t="s">
        <v>1253</v>
      </c>
      <c r="B170" t="s">
        <v>1601</v>
      </c>
    </row>
    <row r="171" spans="1:2" x14ac:dyDescent="0.25">
      <c r="A171" t="s">
        <v>1413</v>
      </c>
      <c r="B171" t="s">
        <v>1256</v>
      </c>
    </row>
    <row r="172" spans="1:2" x14ac:dyDescent="0.25">
      <c r="A172" t="s">
        <v>1847</v>
      </c>
      <c r="B172" t="s">
        <v>1813</v>
      </c>
    </row>
    <row r="173" spans="1:2" x14ac:dyDescent="0.25">
      <c r="A173" t="s">
        <v>1870</v>
      </c>
      <c r="B173" t="s">
        <v>1871</v>
      </c>
    </row>
    <row r="174" spans="1:2" x14ac:dyDescent="0.25">
      <c r="A174" t="s">
        <v>1416</v>
      </c>
      <c r="B174" t="s">
        <v>1263</v>
      </c>
    </row>
    <row r="175" spans="1:2" x14ac:dyDescent="0.25">
      <c r="A175" t="s">
        <v>1602</v>
      </c>
      <c r="B175" t="s">
        <v>1258</v>
      </c>
    </row>
    <row r="176" spans="1:2" x14ac:dyDescent="0.25">
      <c r="A176" t="s">
        <v>1415</v>
      </c>
      <c r="B176" t="s">
        <v>1262</v>
      </c>
    </row>
    <row r="177" spans="1:2" x14ac:dyDescent="0.25">
      <c r="A177" t="s">
        <v>1259</v>
      </c>
      <c r="B177" t="s">
        <v>1259</v>
      </c>
    </row>
    <row r="178" spans="1:2" x14ac:dyDescent="0.25">
      <c r="A178" t="s">
        <v>1603</v>
      </c>
      <c r="B178" t="s">
        <v>1260</v>
      </c>
    </row>
    <row r="179" spans="1:2" x14ac:dyDescent="0.25">
      <c r="A179" t="s">
        <v>1604</v>
      </c>
      <c r="B179" t="s">
        <v>1261</v>
      </c>
    </row>
    <row r="180" spans="1:2" x14ac:dyDescent="0.25">
      <c r="A180" t="s">
        <v>1414</v>
      </c>
      <c r="B180" t="s">
        <v>1257</v>
      </c>
    </row>
    <row r="181" spans="1:2" x14ac:dyDescent="0.25">
      <c r="A181" t="s">
        <v>1605</v>
      </c>
      <c r="B181" t="s">
        <v>1264</v>
      </c>
    </row>
    <row r="182" spans="1:2" x14ac:dyDescent="0.25">
      <c r="A182" t="s">
        <v>1607</v>
      </c>
      <c r="B182" t="s">
        <v>1266</v>
      </c>
    </row>
    <row r="183" spans="1:2" x14ac:dyDescent="0.25">
      <c r="A183" t="s">
        <v>1268</v>
      </c>
      <c r="B183" t="s">
        <v>1268</v>
      </c>
    </row>
    <row r="184" spans="1:2" x14ac:dyDescent="0.25">
      <c r="A184" t="s">
        <v>1606</v>
      </c>
      <c r="B184" t="s">
        <v>1265</v>
      </c>
    </row>
    <row r="185" spans="1:2" x14ac:dyDescent="0.25">
      <c r="A185" t="s">
        <v>1609</v>
      </c>
      <c r="B185" t="s">
        <v>1269</v>
      </c>
    </row>
    <row r="186" spans="1:2" x14ac:dyDescent="0.25">
      <c r="A186" t="s">
        <v>1608</v>
      </c>
      <c r="B186" t="s">
        <v>1267</v>
      </c>
    </row>
    <row r="187" spans="1:2" x14ac:dyDescent="0.25">
      <c r="A187" t="s">
        <v>1846</v>
      </c>
      <c r="B187" t="s">
        <v>1812</v>
      </c>
    </row>
    <row r="188" spans="1:2" x14ac:dyDescent="0.25">
      <c r="A188" t="s">
        <v>1848</v>
      </c>
      <c r="B188" t="s">
        <v>1814</v>
      </c>
    </row>
    <row r="189" spans="1:2" x14ac:dyDescent="0.25">
      <c r="A189" t="s">
        <v>1613</v>
      </c>
      <c r="B189" t="s">
        <v>1272</v>
      </c>
    </row>
    <row r="190" spans="1:2" x14ac:dyDescent="0.25">
      <c r="A190" t="s">
        <v>1612</v>
      </c>
      <c r="B190" t="s">
        <v>1286</v>
      </c>
    </row>
    <row r="191" spans="1:2" x14ac:dyDescent="0.25">
      <c r="A191" t="s">
        <v>1614</v>
      </c>
      <c r="B191" t="s">
        <v>1273</v>
      </c>
    </row>
    <row r="192" spans="1:2" x14ac:dyDescent="0.25">
      <c r="A192" t="s">
        <v>1849</v>
      </c>
      <c r="B192" t="s">
        <v>1815</v>
      </c>
    </row>
    <row r="193" spans="1:2" x14ac:dyDescent="0.25">
      <c r="A193" t="s">
        <v>1270</v>
      </c>
      <c r="B193" t="s">
        <v>1270</v>
      </c>
    </row>
    <row r="194" spans="1:2" x14ac:dyDescent="0.25">
      <c r="A194" t="s">
        <v>1615</v>
      </c>
      <c r="B194" t="s">
        <v>1274</v>
      </c>
    </row>
    <row r="195" spans="1:2" x14ac:dyDescent="0.25">
      <c r="A195" t="s">
        <v>1616</v>
      </c>
      <c r="B195" t="s">
        <v>1275</v>
      </c>
    </row>
    <row r="196" spans="1:2" x14ac:dyDescent="0.25">
      <c r="A196" t="s">
        <v>1617</v>
      </c>
      <c r="B196" t="s">
        <v>1276</v>
      </c>
    </row>
    <row r="197" spans="1:2" x14ac:dyDescent="0.25">
      <c r="A197" t="s">
        <v>1550</v>
      </c>
      <c r="B197" t="s">
        <v>1195</v>
      </c>
    </row>
    <row r="198" spans="1:2" x14ac:dyDescent="0.25">
      <c r="A198" t="s">
        <v>1850</v>
      </c>
      <c r="B198" t="s">
        <v>1816</v>
      </c>
    </row>
    <row r="199" spans="1:2" x14ac:dyDescent="0.25">
      <c r="A199" t="s">
        <v>1279</v>
      </c>
      <c r="B199" t="s">
        <v>1279</v>
      </c>
    </row>
    <row r="200" spans="1:2" x14ac:dyDescent="0.25">
      <c r="A200" t="s">
        <v>1621</v>
      </c>
      <c r="B200" t="s">
        <v>1283</v>
      </c>
    </row>
    <row r="201" spans="1:2" x14ac:dyDescent="0.25">
      <c r="A201" t="s">
        <v>1610</v>
      </c>
      <c r="B201" t="s">
        <v>1284</v>
      </c>
    </row>
    <row r="202" spans="1:2" x14ac:dyDescent="0.25">
      <c r="A202" t="s">
        <v>1620</v>
      </c>
      <c r="B202" t="s">
        <v>1282</v>
      </c>
    </row>
    <row r="203" spans="1:2" x14ac:dyDescent="0.25">
      <c r="A203" t="s">
        <v>1872</v>
      </c>
      <c r="B203" t="s">
        <v>1872</v>
      </c>
    </row>
    <row r="204" spans="1:2" x14ac:dyDescent="0.25">
      <c r="A204" t="s">
        <v>1417</v>
      </c>
      <c r="B204" t="s">
        <v>1271</v>
      </c>
    </row>
    <row r="205" spans="1:2" x14ac:dyDescent="0.25">
      <c r="A205" t="s">
        <v>1618</v>
      </c>
      <c r="B205" t="s">
        <v>1278</v>
      </c>
    </row>
    <row r="206" spans="1:2" x14ac:dyDescent="0.25">
      <c r="A206" t="s">
        <v>1852</v>
      </c>
      <c r="B206" t="s">
        <v>1288</v>
      </c>
    </row>
    <row r="207" spans="1:2" x14ac:dyDescent="0.25">
      <c r="A207" t="s">
        <v>1418</v>
      </c>
      <c r="B207" t="s">
        <v>1277</v>
      </c>
    </row>
    <row r="208" spans="1:2" x14ac:dyDescent="0.25">
      <c r="A208" t="s">
        <v>1290</v>
      </c>
      <c r="B208" t="s">
        <v>1290</v>
      </c>
    </row>
    <row r="209" spans="1:2" x14ac:dyDescent="0.25">
      <c r="A209" t="s">
        <v>1611</v>
      </c>
      <c r="B209" t="s">
        <v>1280</v>
      </c>
    </row>
    <row r="210" spans="1:2" x14ac:dyDescent="0.25">
      <c r="A210" t="s">
        <v>1623</v>
      </c>
      <c r="B210" t="s">
        <v>1291</v>
      </c>
    </row>
    <row r="211" spans="1:2" x14ac:dyDescent="0.25">
      <c r="A211" t="s">
        <v>1864</v>
      </c>
      <c r="B211" t="s">
        <v>1836</v>
      </c>
    </row>
    <row r="212" spans="1:2" x14ac:dyDescent="0.25">
      <c r="A212" t="s">
        <v>1892</v>
      </c>
      <c r="B212" t="s">
        <v>1817</v>
      </c>
    </row>
    <row r="213" spans="1:2" x14ac:dyDescent="0.25">
      <c r="A213" t="s">
        <v>1851</v>
      </c>
      <c r="B213" t="s">
        <v>1818</v>
      </c>
    </row>
    <row r="214" spans="1:2" x14ac:dyDescent="0.25">
      <c r="A214" t="s">
        <v>1624</v>
      </c>
      <c r="B214" t="s">
        <v>1292</v>
      </c>
    </row>
    <row r="215" spans="1:2" x14ac:dyDescent="0.25">
      <c r="A215" t="s">
        <v>1619</v>
      </c>
      <c r="B215" t="s">
        <v>1281</v>
      </c>
    </row>
    <row r="216" spans="1:2" x14ac:dyDescent="0.25">
      <c r="A216" t="s">
        <v>1585</v>
      </c>
      <c r="B216" t="s">
        <v>1293</v>
      </c>
    </row>
    <row r="217" spans="1:2" x14ac:dyDescent="0.25">
      <c r="A217" t="s">
        <v>1581</v>
      </c>
      <c r="B217" t="s">
        <v>1287</v>
      </c>
    </row>
    <row r="218" spans="1:2" x14ac:dyDescent="0.25">
      <c r="A218" t="s">
        <v>1853</v>
      </c>
      <c r="B218" t="s">
        <v>1819</v>
      </c>
    </row>
    <row r="219" spans="1:2" x14ac:dyDescent="0.25">
      <c r="A219" t="s">
        <v>1582</v>
      </c>
      <c r="B219" t="s">
        <v>1289</v>
      </c>
    </row>
    <row r="220" spans="1:2" x14ac:dyDescent="0.25">
      <c r="A220" t="s">
        <v>1880</v>
      </c>
      <c r="B220" t="s">
        <v>1881</v>
      </c>
    </row>
    <row r="221" spans="1:2" x14ac:dyDescent="0.25">
      <c r="A221" t="s">
        <v>1421</v>
      </c>
      <c r="B221" t="s">
        <v>1302</v>
      </c>
    </row>
    <row r="222" spans="1:2" x14ac:dyDescent="0.25">
      <c r="A222" t="s">
        <v>1420</v>
      </c>
      <c r="B222" t="s">
        <v>1297</v>
      </c>
    </row>
    <row r="223" spans="1:2" x14ac:dyDescent="0.25">
      <c r="A223" t="s">
        <v>1854</v>
      </c>
      <c r="B223" t="s">
        <v>1820</v>
      </c>
    </row>
    <row r="224" spans="1:2" x14ac:dyDescent="0.25">
      <c r="A224" t="s">
        <v>1419</v>
      </c>
      <c r="B224" t="s">
        <v>1296</v>
      </c>
    </row>
    <row r="225" spans="1:2" x14ac:dyDescent="0.25">
      <c r="A225" t="s">
        <v>1855</v>
      </c>
      <c r="B225" t="s">
        <v>1821</v>
      </c>
    </row>
    <row r="226" spans="1:2" x14ac:dyDescent="0.25">
      <c r="A226" t="s">
        <v>1583</v>
      </c>
      <c r="B226" t="s">
        <v>1294</v>
      </c>
    </row>
    <row r="227" spans="1:2" x14ac:dyDescent="0.25">
      <c r="A227" t="s">
        <v>1579</v>
      </c>
      <c r="B227" t="s">
        <v>1822</v>
      </c>
    </row>
    <row r="228" spans="1:2" x14ac:dyDescent="0.25">
      <c r="A228" t="s">
        <v>1856</v>
      </c>
      <c r="B228" t="s">
        <v>1823</v>
      </c>
    </row>
    <row r="229" spans="1:2" x14ac:dyDescent="0.25">
      <c r="A229" t="s">
        <v>1912</v>
      </c>
      <c r="B229" t="s">
        <v>1299</v>
      </c>
    </row>
    <row r="230" spans="1:2" x14ac:dyDescent="0.25">
      <c r="A230" t="s">
        <v>1301</v>
      </c>
      <c r="B230" t="s">
        <v>1301</v>
      </c>
    </row>
    <row r="231" spans="1:2" x14ac:dyDescent="0.25">
      <c r="A231" t="s">
        <v>1857</v>
      </c>
      <c r="B231" t="s">
        <v>1824</v>
      </c>
    </row>
    <row r="232" spans="1:2" x14ac:dyDescent="0.25">
      <c r="A232" t="s">
        <v>1584</v>
      </c>
      <c r="B232" t="s">
        <v>1295</v>
      </c>
    </row>
    <row r="233" spans="1:2" x14ac:dyDescent="0.25">
      <c r="A233" t="s">
        <v>1525</v>
      </c>
      <c r="B233" t="s">
        <v>1318</v>
      </c>
    </row>
    <row r="234" spans="1:2" x14ac:dyDescent="0.25">
      <c r="A234" t="s">
        <v>1532</v>
      </c>
      <c r="B234" t="s">
        <v>1310</v>
      </c>
    </row>
    <row r="235" spans="1:2" x14ac:dyDescent="0.25">
      <c r="A235" t="s">
        <v>1527</v>
      </c>
      <c r="B235" t="s">
        <v>1526</v>
      </c>
    </row>
    <row r="236" spans="1:2" x14ac:dyDescent="0.25">
      <c r="A236" t="s">
        <v>1913</v>
      </c>
      <c r="B236" t="s">
        <v>1826</v>
      </c>
    </row>
    <row r="237" spans="1:2" x14ac:dyDescent="0.25">
      <c r="A237" t="s">
        <v>1300</v>
      </c>
      <c r="B237" t="s">
        <v>1300</v>
      </c>
    </row>
    <row r="238" spans="1:2" x14ac:dyDescent="0.25">
      <c r="A238" t="s">
        <v>1576</v>
      </c>
      <c r="B238" t="s">
        <v>1304</v>
      </c>
    </row>
    <row r="239" spans="1:2" x14ac:dyDescent="0.25">
      <c r="A239" t="s">
        <v>1536</v>
      </c>
      <c r="B239" t="s">
        <v>1306</v>
      </c>
    </row>
    <row r="240" spans="1:2" x14ac:dyDescent="0.25">
      <c r="A240" t="s">
        <v>1535</v>
      </c>
      <c r="B240" t="s">
        <v>1307</v>
      </c>
    </row>
    <row r="241" spans="1:2" x14ac:dyDescent="0.25">
      <c r="A241" t="s">
        <v>1534</v>
      </c>
      <c r="B241" t="s">
        <v>1308</v>
      </c>
    </row>
    <row r="242" spans="1:2" x14ac:dyDescent="0.25">
      <c r="A242" t="s">
        <v>1311</v>
      </c>
      <c r="B242" t="s">
        <v>1311</v>
      </c>
    </row>
    <row r="243" spans="1:2" x14ac:dyDescent="0.25">
      <c r="A243" t="s">
        <v>1780</v>
      </c>
      <c r="B243" t="s">
        <v>1779</v>
      </c>
    </row>
    <row r="244" spans="1:2" x14ac:dyDescent="0.25">
      <c r="A244" t="s">
        <v>1893</v>
      </c>
      <c r="B244" t="s">
        <v>1825</v>
      </c>
    </row>
    <row r="245" spans="1:2" x14ac:dyDescent="0.25">
      <c r="A245" t="s">
        <v>1531</v>
      </c>
      <c r="B245" t="s">
        <v>1312</v>
      </c>
    </row>
    <row r="246" spans="1:2" x14ac:dyDescent="0.25">
      <c r="A246" t="s">
        <v>1530</v>
      </c>
      <c r="B246" t="s">
        <v>1313</v>
      </c>
    </row>
    <row r="247" spans="1:2" x14ac:dyDescent="0.25">
      <c r="A247" t="s">
        <v>1529</v>
      </c>
      <c r="B247" t="s">
        <v>1314</v>
      </c>
    </row>
    <row r="248" spans="1:2" x14ac:dyDescent="0.25">
      <c r="A248" t="s">
        <v>1533</v>
      </c>
      <c r="B248" t="s">
        <v>1309</v>
      </c>
    </row>
    <row r="249" spans="1:2" x14ac:dyDescent="0.25">
      <c r="A249" t="s">
        <v>1422</v>
      </c>
      <c r="B249" t="s">
        <v>1298</v>
      </c>
    </row>
    <row r="250" spans="1:2" x14ac:dyDescent="0.25">
      <c r="A250" t="s">
        <v>1316</v>
      </c>
      <c r="B250" t="s">
        <v>1827</v>
      </c>
    </row>
    <row r="251" spans="1:2" x14ac:dyDescent="0.25">
      <c r="A251" t="s">
        <v>1858</v>
      </c>
      <c r="B251" t="s">
        <v>1828</v>
      </c>
    </row>
    <row r="252" spans="1:2" x14ac:dyDescent="0.25">
      <c r="A252" t="s">
        <v>1423</v>
      </c>
      <c r="B252" t="s">
        <v>1325</v>
      </c>
    </row>
    <row r="253" spans="1:2" x14ac:dyDescent="0.25">
      <c r="A253" t="s">
        <v>1319</v>
      </c>
      <c r="B253" t="s">
        <v>1319</v>
      </c>
    </row>
    <row r="254" spans="1:2" x14ac:dyDescent="0.25">
      <c r="A254" t="s">
        <v>1524</v>
      </c>
      <c r="B254" t="s">
        <v>1321</v>
      </c>
    </row>
    <row r="255" spans="1:2" x14ac:dyDescent="0.25">
      <c r="A255" t="s">
        <v>1322</v>
      </c>
      <c r="B255" t="s">
        <v>1322</v>
      </c>
    </row>
    <row r="256" spans="1:2" x14ac:dyDescent="0.25">
      <c r="A256" t="s">
        <v>1323</v>
      </c>
      <c r="B256" t="s">
        <v>1324</v>
      </c>
    </row>
    <row r="257" spans="1:2" x14ac:dyDescent="0.25">
      <c r="A257" t="s">
        <v>1425</v>
      </c>
      <c r="B257" t="s">
        <v>1317</v>
      </c>
    </row>
    <row r="258" spans="1:2" x14ac:dyDescent="0.25">
      <c r="A258" t="s">
        <v>1902</v>
      </c>
      <c r="B258" t="s">
        <v>1327</v>
      </c>
    </row>
    <row r="259" spans="1:2" x14ac:dyDescent="0.25">
      <c r="A259" t="s">
        <v>1426</v>
      </c>
      <c r="B259" t="s">
        <v>1343</v>
      </c>
    </row>
    <row r="260" spans="1:2" x14ac:dyDescent="0.25">
      <c r="A260" t="s">
        <v>1517</v>
      </c>
      <c r="B260" t="s">
        <v>1335</v>
      </c>
    </row>
    <row r="261" spans="1:2" x14ac:dyDescent="0.25">
      <c r="A261" t="s">
        <v>1328</v>
      </c>
      <c r="B261" t="s">
        <v>1328</v>
      </c>
    </row>
    <row r="262" spans="1:2" x14ac:dyDescent="0.25">
      <c r="A262" t="s">
        <v>1512</v>
      </c>
      <c r="B262" t="s">
        <v>1342</v>
      </c>
    </row>
    <row r="263" spans="1:2" x14ac:dyDescent="0.25">
      <c r="A263" t="s">
        <v>1511</v>
      </c>
      <c r="B263" t="s">
        <v>1344</v>
      </c>
    </row>
    <row r="264" spans="1:2" x14ac:dyDescent="0.25">
      <c r="A264" t="s">
        <v>1859</v>
      </c>
      <c r="B264" t="s">
        <v>1829</v>
      </c>
    </row>
    <row r="265" spans="1:2" x14ac:dyDescent="0.25">
      <c r="A265" t="s">
        <v>1320</v>
      </c>
      <c r="B265" t="s">
        <v>1320</v>
      </c>
    </row>
    <row r="266" spans="1:2" x14ac:dyDescent="0.25">
      <c r="A266" t="s">
        <v>1860</v>
      </c>
      <c r="B266" t="s">
        <v>1830</v>
      </c>
    </row>
    <row r="267" spans="1:2" x14ac:dyDescent="0.25">
      <c r="A267" t="s">
        <v>1516</v>
      </c>
      <c r="B267" t="s">
        <v>1334</v>
      </c>
    </row>
    <row r="268" spans="1:2" x14ac:dyDescent="0.25">
      <c r="A268" t="s">
        <v>1914</v>
      </c>
      <c r="B268" t="s">
        <v>1332</v>
      </c>
    </row>
    <row r="269" spans="1:2" x14ac:dyDescent="0.25">
      <c r="A269" t="s">
        <v>1521</v>
      </c>
      <c r="B269" t="s">
        <v>1333</v>
      </c>
    </row>
    <row r="270" spans="1:2" x14ac:dyDescent="0.25">
      <c r="A270" t="s">
        <v>1518</v>
      </c>
      <c r="B270" t="s">
        <v>1336</v>
      </c>
    </row>
    <row r="271" spans="1:2" x14ac:dyDescent="0.25">
      <c r="A271" t="s">
        <v>1861</v>
      </c>
      <c r="B271" t="s">
        <v>1831</v>
      </c>
    </row>
    <row r="272" spans="1:2" x14ac:dyDescent="0.25">
      <c r="A272" t="s">
        <v>1522</v>
      </c>
      <c r="B272" t="s">
        <v>1523</v>
      </c>
    </row>
    <row r="273" spans="1:2" x14ac:dyDescent="0.25">
      <c r="A273" t="s">
        <v>1330</v>
      </c>
      <c r="B273" t="s">
        <v>1794</v>
      </c>
    </row>
    <row r="274" spans="1:2" x14ac:dyDescent="0.25">
      <c r="A274" t="s">
        <v>1515</v>
      </c>
      <c r="B274" t="s">
        <v>1519</v>
      </c>
    </row>
    <row r="275" spans="1:2" x14ac:dyDescent="0.25">
      <c r="A275" t="s">
        <v>1338</v>
      </c>
      <c r="B275" t="s">
        <v>1338</v>
      </c>
    </row>
    <row r="276" spans="1:2" x14ac:dyDescent="0.25">
      <c r="A276" t="s">
        <v>1340</v>
      </c>
      <c r="B276" t="s">
        <v>1340</v>
      </c>
    </row>
    <row r="277" spans="1:2" x14ac:dyDescent="0.25">
      <c r="A277" t="s">
        <v>1889</v>
      </c>
      <c r="B277" t="s">
        <v>1345</v>
      </c>
    </row>
    <row r="278" spans="1:2" x14ac:dyDescent="0.25">
      <c r="A278" t="s">
        <v>1514</v>
      </c>
      <c r="B278" t="s">
        <v>1329</v>
      </c>
    </row>
    <row r="279" spans="1:2" x14ac:dyDescent="0.25">
      <c r="A279" t="s">
        <v>1510</v>
      </c>
      <c r="B279" t="s">
        <v>1795</v>
      </c>
    </row>
    <row r="280" spans="1:2" x14ac:dyDescent="0.25">
      <c r="A280" t="s">
        <v>1513</v>
      </c>
      <c r="B280" t="s">
        <v>1341</v>
      </c>
    </row>
    <row r="281" spans="1:2" x14ac:dyDescent="0.25">
      <c r="A281" t="s">
        <v>1507</v>
      </c>
      <c r="B281" t="s">
        <v>1348</v>
      </c>
    </row>
    <row r="282" spans="1:2" x14ac:dyDescent="0.25">
      <c r="A282" t="s">
        <v>1879</v>
      </c>
      <c r="B282" t="s">
        <v>1879</v>
      </c>
    </row>
    <row r="283" spans="1:2" x14ac:dyDescent="0.25">
      <c r="A283" t="s">
        <v>1894</v>
      </c>
      <c r="B283" t="s">
        <v>1895</v>
      </c>
    </row>
    <row r="284" spans="1:2" x14ac:dyDescent="0.25">
      <c r="A284" t="s">
        <v>1427</v>
      </c>
      <c r="B284" t="s">
        <v>1346</v>
      </c>
    </row>
    <row r="285" spans="1:2" x14ac:dyDescent="0.25">
      <c r="A285" t="s">
        <v>1873</v>
      </c>
      <c r="B285" t="s">
        <v>1874</v>
      </c>
    </row>
    <row r="286" spans="1:2" x14ac:dyDescent="0.25">
      <c r="A286" t="s">
        <v>1915</v>
      </c>
      <c r="B286" t="s">
        <v>1832</v>
      </c>
    </row>
    <row r="287" spans="1:2" x14ac:dyDescent="0.25">
      <c r="A287" t="s">
        <v>1509</v>
      </c>
      <c r="B287" t="s">
        <v>1781</v>
      </c>
    </row>
    <row r="288" spans="1:2" x14ac:dyDescent="0.25">
      <c r="A288" t="s">
        <v>1862</v>
      </c>
      <c r="B288" t="s">
        <v>1833</v>
      </c>
    </row>
    <row r="289" spans="1:2" x14ac:dyDescent="0.25">
      <c r="A289" t="s">
        <v>1339</v>
      </c>
      <c r="B289" t="s">
        <v>1339</v>
      </c>
    </row>
    <row r="290" spans="1:2" x14ac:dyDescent="0.25">
      <c r="A290" t="s">
        <v>1508</v>
      </c>
      <c r="B290" t="s">
        <v>1349</v>
      </c>
    </row>
    <row r="291" spans="1:2" x14ac:dyDescent="0.25">
      <c r="A291" t="s">
        <v>1506</v>
      </c>
      <c r="B291" t="s">
        <v>1350</v>
      </c>
    </row>
    <row r="292" spans="1:2" x14ac:dyDescent="0.25">
      <c r="A292" t="s">
        <v>1505</v>
      </c>
      <c r="B292" t="s">
        <v>1351</v>
      </c>
    </row>
    <row r="293" spans="1:2" x14ac:dyDescent="0.25">
      <c r="A293" t="s">
        <v>1504</v>
      </c>
      <c r="B293" t="s">
        <v>1353</v>
      </c>
    </row>
    <row r="294" spans="1:2" x14ac:dyDescent="0.25">
      <c r="A294" t="s">
        <v>1834</v>
      </c>
      <c r="B294" t="s">
        <v>1834</v>
      </c>
    </row>
    <row r="295" spans="1:2" x14ac:dyDescent="0.25">
      <c r="A295" t="s">
        <v>1428</v>
      </c>
      <c r="B295" t="s">
        <v>1352</v>
      </c>
    </row>
    <row r="296" spans="1:2" x14ac:dyDescent="0.25">
      <c r="A296" t="s">
        <v>1429</v>
      </c>
      <c r="B296" t="s">
        <v>1354</v>
      </c>
    </row>
    <row r="297" spans="1:2" x14ac:dyDescent="0.25">
      <c r="A297" t="s">
        <v>1494</v>
      </c>
      <c r="B297" t="s">
        <v>1369</v>
      </c>
    </row>
    <row r="298" spans="1:2" x14ac:dyDescent="0.25">
      <c r="A298" t="s">
        <v>1430</v>
      </c>
      <c r="B298" t="s">
        <v>1782</v>
      </c>
    </row>
    <row r="299" spans="1:2" x14ac:dyDescent="0.25">
      <c r="A299" t="s">
        <v>1347</v>
      </c>
      <c r="B299" t="s">
        <v>1347</v>
      </c>
    </row>
    <row r="300" spans="1:2" x14ac:dyDescent="0.25">
      <c r="A300" t="s">
        <v>1501</v>
      </c>
      <c r="B300" t="s">
        <v>1360</v>
      </c>
    </row>
    <row r="301" spans="1:2" x14ac:dyDescent="0.25">
      <c r="A301" t="s">
        <v>1497</v>
      </c>
      <c r="B301" t="s">
        <v>1365</v>
      </c>
    </row>
    <row r="302" spans="1:2" x14ac:dyDescent="0.25">
      <c r="A302" t="s">
        <v>1503</v>
      </c>
      <c r="B302" t="s">
        <v>1356</v>
      </c>
    </row>
    <row r="303" spans="1:2" x14ac:dyDescent="0.25">
      <c r="A303" t="s">
        <v>1500</v>
      </c>
      <c r="B303" t="s">
        <v>1362</v>
      </c>
    </row>
    <row r="304" spans="1:2" x14ac:dyDescent="0.25">
      <c r="A304" t="s">
        <v>1431</v>
      </c>
      <c r="B304" t="s">
        <v>1359</v>
      </c>
    </row>
    <row r="305" spans="1:2" x14ac:dyDescent="0.25">
      <c r="A305" t="s">
        <v>1502</v>
      </c>
      <c r="B305" t="s">
        <v>1357</v>
      </c>
    </row>
    <row r="306" spans="1:2" x14ac:dyDescent="0.25">
      <c r="A306" t="s">
        <v>1498</v>
      </c>
      <c r="B306" t="s">
        <v>1364</v>
      </c>
    </row>
    <row r="307" spans="1:2" x14ac:dyDescent="0.25">
      <c r="A307" t="s">
        <v>1499</v>
      </c>
      <c r="B307" t="s">
        <v>1363</v>
      </c>
    </row>
    <row r="308" spans="1:2" x14ac:dyDescent="0.25">
      <c r="A308" t="s">
        <v>1358</v>
      </c>
      <c r="B308" t="s">
        <v>1358</v>
      </c>
    </row>
    <row r="309" spans="1:2" x14ac:dyDescent="0.25">
      <c r="A309" t="s">
        <v>1495</v>
      </c>
      <c r="B309" t="s">
        <v>1368</v>
      </c>
    </row>
    <row r="310" spans="1:2" x14ac:dyDescent="0.25">
      <c r="A310" t="s">
        <v>1790</v>
      </c>
      <c r="B310" t="s">
        <v>1355</v>
      </c>
    </row>
    <row r="311" spans="1:2" x14ac:dyDescent="0.25">
      <c r="A311" t="s">
        <v>1361</v>
      </c>
      <c r="B311" t="s">
        <v>1361</v>
      </c>
    </row>
    <row r="312" spans="1:2" x14ac:dyDescent="0.25">
      <c r="A312" t="s">
        <v>1863</v>
      </c>
      <c r="B312" t="s">
        <v>1835</v>
      </c>
    </row>
    <row r="313" spans="1:2" x14ac:dyDescent="0.25">
      <c r="A313" t="s">
        <v>1432</v>
      </c>
      <c r="B313" t="s">
        <v>1366</v>
      </c>
    </row>
    <row r="314" spans="1:2" x14ac:dyDescent="0.25">
      <c r="A314" t="s">
        <v>1496</v>
      </c>
      <c r="B314" t="s">
        <v>1367</v>
      </c>
    </row>
    <row r="315" spans="1:2" x14ac:dyDescent="0.25">
      <c r="A315" t="s">
        <v>1492</v>
      </c>
      <c r="B315" t="s">
        <v>1371</v>
      </c>
    </row>
    <row r="316" spans="1:2" x14ac:dyDescent="0.25">
      <c r="A316" t="s">
        <v>1493</v>
      </c>
      <c r="B316" t="s">
        <v>1370</v>
      </c>
    </row>
    <row r="317" spans="1:2" x14ac:dyDescent="0.25">
      <c r="A317" t="s">
        <v>1491</v>
      </c>
      <c r="B317" t="s">
        <v>1372</v>
      </c>
    </row>
    <row r="318" spans="1:2" x14ac:dyDescent="0.25">
      <c r="A318" t="s">
        <v>1490</v>
      </c>
      <c r="B318" t="s">
        <v>1373</v>
      </c>
    </row>
    <row r="319" spans="1:2" x14ac:dyDescent="0.25">
      <c r="A319" t="s">
        <v>1489</v>
      </c>
      <c r="B319" t="s">
        <v>1375</v>
      </c>
    </row>
    <row r="320" spans="1:2" x14ac:dyDescent="0.25">
      <c r="A320" t="s">
        <v>1433</v>
      </c>
      <c r="B320" t="s">
        <v>1374</v>
      </c>
    </row>
    <row r="321" spans="1:2" x14ac:dyDescent="0.25">
      <c r="A321" t="s">
        <v>1434</v>
      </c>
      <c r="B321" t="s">
        <v>1376</v>
      </c>
    </row>
    <row r="322" spans="1:2" x14ac:dyDescent="0.25">
      <c r="A322" t="s">
        <v>1488</v>
      </c>
      <c r="B322" t="s">
        <v>1377</v>
      </c>
    </row>
    <row r="323" spans="1:2" x14ac:dyDescent="0.25">
      <c r="A323" t="s">
        <v>1435</v>
      </c>
      <c r="B323" t="s">
        <v>1378</v>
      </c>
    </row>
    <row r="324" spans="1:2" x14ac:dyDescent="0.25">
      <c r="A324" t="s">
        <v>1436</v>
      </c>
      <c r="B324" t="s">
        <v>1379</v>
      </c>
    </row>
    <row r="325" spans="1:2" x14ac:dyDescent="0.25">
      <c r="A325" t="s">
        <v>1381</v>
      </c>
      <c r="B325" t="s">
        <v>1381</v>
      </c>
    </row>
    <row r="326" spans="1:2" x14ac:dyDescent="0.25">
      <c r="A326" t="s">
        <v>1437</v>
      </c>
      <c r="B326" t="s">
        <v>1380</v>
      </c>
    </row>
    <row r="327" spans="1:2" x14ac:dyDescent="0.25">
      <c r="A327" t="s">
        <v>1487</v>
      </c>
      <c r="B327" t="s">
        <v>1382</v>
      </c>
    </row>
    <row r="328" spans="1:2" x14ac:dyDescent="0.25">
      <c r="A328" t="s">
        <v>1484</v>
      </c>
      <c r="B328" t="s">
        <v>1385</v>
      </c>
    </row>
    <row r="329" spans="1:2" x14ac:dyDescent="0.25">
      <c r="A329" t="s">
        <v>1486</v>
      </c>
      <c r="B329" t="s">
        <v>1383</v>
      </c>
    </row>
    <row r="330" spans="1:2" x14ac:dyDescent="0.25">
      <c r="A330" t="s">
        <v>1485</v>
      </c>
      <c r="B330" t="s">
        <v>1384</v>
      </c>
    </row>
    <row r="331" spans="1:2" x14ac:dyDescent="0.25">
      <c r="A331" t="s">
        <v>1483</v>
      </c>
      <c r="B331" t="s">
        <v>1386</v>
      </c>
    </row>
    <row r="332" spans="1:2" x14ac:dyDescent="0.25">
      <c r="A332" t="s">
        <v>1387</v>
      </c>
      <c r="B332" t="s">
        <v>1387</v>
      </c>
    </row>
  </sheetData>
  <conditionalFormatting sqref="A2:A335">
    <cfRule type="duplicateValues" dxfId="2" priority="181"/>
  </conditionalFormatting>
  <conditionalFormatting sqref="B2:B335">
    <cfRule type="duplicateValues" dxfId="1" priority="183"/>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85" id="{0ACA4079-1085-466F-994B-54D5EE64C0C0}">
            <xm:f>ISERROR(VLOOKUP(Training_DB!#REF!,$A$2:$A$335,1,0))</xm:f>
            <x14:dxf/>
          </x14:cfRule>
          <xm:sqref>E2:E2816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19"/>
  <sheetViews>
    <sheetView topLeftCell="O1" zoomScale="80" zoomScaleNormal="80" workbookViewId="0">
      <selection activeCell="U2" sqref="U2:U8"/>
    </sheetView>
  </sheetViews>
  <sheetFormatPr defaultRowHeight="15" x14ac:dyDescent="0.25"/>
  <cols>
    <col min="1" max="1" width="12.85546875" bestFit="1" customWidth="1"/>
    <col min="2" max="2" width="18.42578125" bestFit="1" customWidth="1"/>
    <col min="3" max="3" width="12.42578125" bestFit="1" customWidth="1"/>
    <col min="4" max="4" width="12.42578125" customWidth="1"/>
    <col min="5" max="5" width="9.140625" style="3"/>
    <col min="6" max="6" width="18.42578125" bestFit="1" customWidth="1"/>
    <col min="7" max="7" width="27.28515625" bestFit="1" customWidth="1"/>
    <col min="8" max="8" width="32.7109375" bestFit="1" customWidth="1"/>
    <col min="9" max="9" width="9.140625" style="3"/>
    <col min="10" max="10" width="77" bestFit="1" customWidth="1"/>
    <col min="11" max="11" width="20" bestFit="1" customWidth="1"/>
    <col min="13" max="13" width="9.140625" style="3"/>
    <col min="14" max="14" width="147.85546875" bestFit="1" customWidth="1"/>
    <col min="15" max="15" width="9.140625" style="3"/>
    <col min="16" max="16" width="122.28515625" style="5" bestFit="1" customWidth="1"/>
    <col min="17" max="17" width="43.140625" bestFit="1" customWidth="1"/>
    <col min="18" max="18" width="9.140625" style="3"/>
    <col min="20" max="20" width="9.140625" style="3"/>
    <col min="22" max="22" width="9.140625" style="3"/>
  </cols>
  <sheetData>
    <row r="1" spans="1:22" s="4" customFormat="1" x14ac:dyDescent="0.25">
      <c r="A1" s="1" t="s">
        <v>1108</v>
      </c>
      <c r="B1" s="1" t="s">
        <v>1109</v>
      </c>
      <c r="C1" s="1" t="s">
        <v>1111</v>
      </c>
      <c r="D1" s="1"/>
      <c r="E1" s="2"/>
      <c r="F1" s="1" t="s">
        <v>1109</v>
      </c>
      <c r="G1" s="1" t="s">
        <v>1110</v>
      </c>
      <c r="H1" s="1" t="s">
        <v>1112</v>
      </c>
      <c r="I1" s="3"/>
      <c r="J1" s="1" t="s">
        <v>1625</v>
      </c>
      <c r="K1" s="1" t="s">
        <v>1390</v>
      </c>
      <c r="L1" s="1"/>
      <c r="M1" s="3"/>
      <c r="N1" s="1" t="s">
        <v>1388</v>
      </c>
      <c r="O1" s="3"/>
      <c r="P1" s="1" t="s">
        <v>1631</v>
      </c>
      <c r="Q1" s="1" t="s">
        <v>1627</v>
      </c>
      <c r="R1" s="3"/>
      <c r="S1" s="1" t="s">
        <v>1926</v>
      </c>
      <c r="T1" s="3"/>
      <c r="U1" s="1" t="s">
        <v>1969</v>
      </c>
      <c r="V1" s="3"/>
    </row>
    <row r="2" spans="1:22" x14ac:dyDescent="0.25">
      <c r="A2" t="s">
        <v>0</v>
      </c>
      <c r="B2" t="s">
        <v>49</v>
      </c>
      <c r="C2" t="s">
        <v>50</v>
      </c>
      <c r="F2" t="s">
        <v>49</v>
      </c>
      <c r="G2" t="s">
        <v>1900</v>
      </c>
      <c r="H2" t="s">
        <v>123</v>
      </c>
      <c r="J2" t="s">
        <v>1114</v>
      </c>
      <c r="K2" t="s">
        <v>1391</v>
      </c>
      <c r="N2" t="s">
        <v>1931</v>
      </c>
      <c r="P2" t="s">
        <v>1931</v>
      </c>
      <c r="Q2" t="s">
        <v>1187</v>
      </c>
      <c r="S2" t="s">
        <v>1928</v>
      </c>
      <c r="U2" t="s">
        <v>1971</v>
      </c>
    </row>
    <row r="3" spans="1:22" x14ac:dyDescent="0.25">
      <c r="A3" t="s">
        <v>0</v>
      </c>
      <c r="B3" t="s">
        <v>17</v>
      </c>
      <c r="C3" t="s">
        <v>18</v>
      </c>
      <c r="F3" t="s">
        <v>49</v>
      </c>
      <c r="G3" t="s">
        <v>1635</v>
      </c>
      <c r="H3" t="s">
        <v>669</v>
      </c>
      <c r="J3" t="s">
        <v>1115</v>
      </c>
      <c r="K3" t="s">
        <v>1438</v>
      </c>
      <c r="N3" t="s">
        <v>1930</v>
      </c>
      <c r="P3" t="s">
        <v>1931</v>
      </c>
      <c r="Q3" t="s">
        <v>1628</v>
      </c>
      <c r="S3" t="s">
        <v>1929</v>
      </c>
      <c r="U3" t="s">
        <v>1970</v>
      </c>
    </row>
    <row r="4" spans="1:22" x14ac:dyDescent="0.25">
      <c r="A4" t="s">
        <v>0</v>
      </c>
      <c r="B4" t="s">
        <v>1</v>
      </c>
      <c r="C4" t="s">
        <v>2</v>
      </c>
      <c r="F4" t="s">
        <v>49</v>
      </c>
      <c r="G4" t="s">
        <v>122</v>
      </c>
      <c r="H4" t="s">
        <v>1636</v>
      </c>
      <c r="J4" t="s">
        <v>1116</v>
      </c>
      <c r="K4" t="s">
        <v>1439</v>
      </c>
      <c r="N4" t="s">
        <v>1932</v>
      </c>
      <c r="P4" t="s">
        <v>1931</v>
      </c>
      <c r="Q4" t="s">
        <v>1623</v>
      </c>
      <c r="U4" t="s">
        <v>1972</v>
      </c>
    </row>
    <row r="5" spans="1:22" x14ac:dyDescent="0.25">
      <c r="A5" t="s">
        <v>0</v>
      </c>
      <c r="B5" t="s">
        <v>1632</v>
      </c>
      <c r="C5" t="s">
        <v>31</v>
      </c>
      <c r="F5" t="s">
        <v>49</v>
      </c>
      <c r="G5" t="s">
        <v>1638</v>
      </c>
      <c r="H5" t="s">
        <v>1637</v>
      </c>
      <c r="J5" t="s">
        <v>1772</v>
      </c>
      <c r="K5" t="s">
        <v>1771</v>
      </c>
      <c r="N5" t="s">
        <v>1933</v>
      </c>
      <c r="P5" t="s">
        <v>1931</v>
      </c>
      <c r="Q5" t="s">
        <v>1629</v>
      </c>
      <c r="U5" t="s">
        <v>1973</v>
      </c>
    </row>
    <row r="6" spans="1:22" x14ac:dyDescent="0.25">
      <c r="A6" t="s">
        <v>0</v>
      </c>
      <c r="B6" t="s">
        <v>37</v>
      </c>
      <c r="C6" t="s">
        <v>38</v>
      </c>
      <c r="F6" t="s">
        <v>49</v>
      </c>
      <c r="G6" t="s">
        <v>1640</v>
      </c>
      <c r="H6" t="s">
        <v>1639</v>
      </c>
      <c r="J6" t="s">
        <v>1117</v>
      </c>
      <c r="K6" t="s">
        <v>1447</v>
      </c>
      <c r="N6" t="s">
        <v>1942</v>
      </c>
      <c r="P6" t="s">
        <v>1931</v>
      </c>
      <c r="Q6" t="s">
        <v>1630</v>
      </c>
      <c r="U6" t="s">
        <v>1974</v>
      </c>
    </row>
    <row r="7" spans="1:22" x14ac:dyDescent="0.25">
      <c r="A7" t="s">
        <v>0</v>
      </c>
      <c r="B7" t="s">
        <v>51</v>
      </c>
      <c r="C7" t="s">
        <v>52</v>
      </c>
      <c r="F7" t="s">
        <v>49</v>
      </c>
      <c r="G7" t="s">
        <v>1642</v>
      </c>
      <c r="H7" t="s">
        <v>1641</v>
      </c>
      <c r="J7" t="s">
        <v>1118</v>
      </c>
      <c r="K7" t="s">
        <v>1392</v>
      </c>
      <c r="N7" t="s">
        <v>1941</v>
      </c>
      <c r="P7" t="s">
        <v>1941</v>
      </c>
      <c r="Q7" t="s">
        <v>1187</v>
      </c>
      <c r="U7" t="s">
        <v>1975</v>
      </c>
    </row>
    <row r="8" spans="1:22" x14ac:dyDescent="0.25">
      <c r="A8" t="s">
        <v>0</v>
      </c>
      <c r="B8" t="s">
        <v>149</v>
      </c>
      <c r="C8" t="s">
        <v>150</v>
      </c>
      <c r="F8" t="s">
        <v>17</v>
      </c>
      <c r="G8" t="s">
        <v>19</v>
      </c>
      <c r="H8" t="s">
        <v>284</v>
      </c>
      <c r="J8" t="s">
        <v>1119</v>
      </c>
      <c r="K8" t="s">
        <v>1448</v>
      </c>
      <c r="N8" t="s">
        <v>1943</v>
      </c>
      <c r="P8" t="s">
        <v>1941</v>
      </c>
      <c r="Q8" t="s">
        <v>1628</v>
      </c>
      <c r="U8" t="s">
        <v>1976</v>
      </c>
    </row>
    <row r="9" spans="1:22" x14ac:dyDescent="0.25">
      <c r="A9" t="s">
        <v>0</v>
      </c>
      <c r="B9" t="s">
        <v>41</v>
      </c>
      <c r="C9" t="s">
        <v>42</v>
      </c>
      <c r="F9" t="s">
        <v>17</v>
      </c>
      <c r="G9" t="s">
        <v>59</v>
      </c>
      <c r="H9" t="s">
        <v>545</v>
      </c>
      <c r="J9" t="s">
        <v>1120</v>
      </c>
      <c r="K9" t="s">
        <v>1120</v>
      </c>
      <c r="N9" t="s">
        <v>1944</v>
      </c>
      <c r="P9" t="s">
        <v>1941</v>
      </c>
      <c r="Q9" t="s">
        <v>1623</v>
      </c>
    </row>
    <row r="10" spans="1:22" x14ac:dyDescent="0.25">
      <c r="A10" t="s">
        <v>3</v>
      </c>
      <c r="B10" t="s">
        <v>4</v>
      </c>
      <c r="C10" t="s">
        <v>5</v>
      </c>
      <c r="F10" t="s">
        <v>17</v>
      </c>
      <c r="G10" t="s">
        <v>92</v>
      </c>
      <c r="H10" t="s">
        <v>731</v>
      </c>
      <c r="J10" t="s">
        <v>1121</v>
      </c>
      <c r="K10" t="s">
        <v>1440</v>
      </c>
      <c r="N10" t="s">
        <v>1945</v>
      </c>
      <c r="P10" t="s">
        <v>1941</v>
      </c>
      <c r="Q10" t="s">
        <v>1629</v>
      </c>
    </row>
    <row r="11" spans="1:22" x14ac:dyDescent="0.25">
      <c r="A11" t="s">
        <v>21</v>
      </c>
      <c r="B11" t="s">
        <v>22</v>
      </c>
      <c r="C11" t="s">
        <v>23</v>
      </c>
      <c r="F11" t="s">
        <v>17</v>
      </c>
      <c r="G11" t="s">
        <v>105</v>
      </c>
      <c r="H11" t="s">
        <v>930</v>
      </c>
      <c r="J11" t="s">
        <v>1122</v>
      </c>
      <c r="K11" t="s">
        <v>1441</v>
      </c>
      <c r="N11" t="s">
        <v>1934</v>
      </c>
      <c r="P11" t="s">
        <v>1941</v>
      </c>
      <c r="Q11" t="s">
        <v>1630</v>
      </c>
    </row>
    <row r="12" spans="1:22" x14ac:dyDescent="0.25">
      <c r="A12" t="s">
        <v>21</v>
      </c>
      <c r="B12" t="s">
        <v>73</v>
      </c>
      <c r="C12" t="s">
        <v>74</v>
      </c>
      <c r="F12" t="s">
        <v>17</v>
      </c>
      <c r="G12" t="s">
        <v>161</v>
      </c>
      <c r="H12" t="s">
        <v>939</v>
      </c>
      <c r="J12" t="s">
        <v>1123</v>
      </c>
      <c r="K12" t="s">
        <v>1393</v>
      </c>
      <c r="N12" t="s">
        <v>1935</v>
      </c>
      <c r="P12" t="s">
        <v>1930</v>
      </c>
      <c r="Q12" t="s">
        <v>1187</v>
      </c>
    </row>
    <row r="13" spans="1:22" x14ac:dyDescent="0.25">
      <c r="A13" t="s">
        <v>21</v>
      </c>
      <c r="B13" t="s">
        <v>26</v>
      </c>
      <c r="C13" t="s">
        <v>27</v>
      </c>
      <c r="F13" t="s">
        <v>17</v>
      </c>
      <c r="G13" t="s">
        <v>196</v>
      </c>
      <c r="H13" t="s">
        <v>20</v>
      </c>
      <c r="J13" t="s">
        <v>1125</v>
      </c>
      <c r="K13" t="s">
        <v>1124</v>
      </c>
      <c r="N13" t="s">
        <v>1936</v>
      </c>
      <c r="P13" t="s">
        <v>1930</v>
      </c>
      <c r="Q13" t="s">
        <v>1628</v>
      </c>
    </row>
    <row r="14" spans="1:22" x14ac:dyDescent="0.25">
      <c r="A14" t="s">
        <v>13</v>
      </c>
      <c r="B14" t="s">
        <v>1633</v>
      </c>
      <c r="C14" t="s">
        <v>14</v>
      </c>
      <c r="F14" t="s">
        <v>17</v>
      </c>
      <c r="G14" t="s">
        <v>207</v>
      </c>
      <c r="H14" t="s">
        <v>313</v>
      </c>
      <c r="J14" t="s">
        <v>1126</v>
      </c>
      <c r="K14" t="s">
        <v>1449</v>
      </c>
      <c r="N14" t="s">
        <v>1937</v>
      </c>
      <c r="P14" t="s">
        <v>1930</v>
      </c>
      <c r="Q14" t="s">
        <v>1623</v>
      </c>
    </row>
    <row r="15" spans="1:22" x14ac:dyDescent="0.25">
      <c r="A15" t="s">
        <v>33</v>
      </c>
      <c r="B15" t="s">
        <v>34</v>
      </c>
      <c r="C15" t="s">
        <v>1634</v>
      </c>
      <c r="F15" t="s">
        <v>17</v>
      </c>
      <c r="G15" t="s">
        <v>232</v>
      </c>
      <c r="H15" t="s">
        <v>898</v>
      </c>
      <c r="J15" t="s">
        <v>1127</v>
      </c>
      <c r="K15" t="s">
        <v>1450</v>
      </c>
      <c r="N15" t="s">
        <v>1946</v>
      </c>
      <c r="P15" t="s">
        <v>1930</v>
      </c>
      <c r="Q15" t="s">
        <v>1629</v>
      </c>
    </row>
    <row r="16" spans="1:22" x14ac:dyDescent="0.25">
      <c r="F16" t="s">
        <v>17</v>
      </c>
      <c r="G16" t="s">
        <v>283</v>
      </c>
      <c r="H16" t="s">
        <v>93</v>
      </c>
      <c r="J16" t="s">
        <v>1128</v>
      </c>
      <c r="K16" t="s">
        <v>1442</v>
      </c>
      <c r="N16" t="s">
        <v>1947</v>
      </c>
      <c r="P16" t="s">
        <v>1930</v>
      </c>
      <c r="Q16" t="s">
        <v>1630</v>
      </c>
    </row>
    <row r="17" spans="6:17" x14ac:dyDescent="0.25">
      <c r="F17" t="s">
        <v>17</v>
      </c>
      <c r="G17" t="s">
        <v>298</v>
      </c>
      <c r="H17" t="s">
        <v>197</v>
      </c>
      <c r="J17" t="s">
        <v>1129</v>
      </c>
      <c r="K17" t="s">
        <v>1443</v>
      </c>
      <c r="N17" t="s">
        <v>1948</v>
      </c>
      <c r="P17" t="s">
        <v>1932</v>
      </c>
      <c r="Q17" t="s">
        <v>1187</v>
      </c>
    </row>
    <row r="18" spans="6:17" x14ac:dyDescent="0.25">
      <c r="F18" t="s">
        <v>17</v>
      </c>
      <c r="G18" t="s">
        <v>310</v>
      </c>
      <c r="H18" t="s">
        <v>422</v>
      </c>
      <c r="J18" t="s">
        <v>1389</v>
      </c>
      <c r="K18" t="s">
        <v>1444</v>
      </c>
      <c r="N18" t="s">
        <v>1949</v>
      </c>
      <c r="P18" t="s">
        <v>1932</v>
      </c>
      <c r="Q18" t="s">
        <v>1628</v>
      </c>
    </row>
    <row r="19" spans="6:17" x14ac:dyDescent="0.25">
      <c r="F19" t="s">
        <v>17</v>
      </c>
      <c r="G19" t="s">
        <v>312</v>
      </c>
      <c r="H19" t="s">
        <v>748</v>
      </c>
      <c r="J19" t="s">
        <v>1130</v>
      </c>
      <c r="K19" t="s">
        <v>1451</v>
      </c>
      <c r="N19" t="s">
        <v>1938</v>
      </c>
      <c r="P19" t="s">
        <v>1932</v>
      </c>
      <c r="Q19" t="s">
        <v>1623</v>
      </c>
    </row>
    <row r="20" spans="6:17" x14ac:dyDescent="0.25">
      <c r="F20" t="s">
        <v>17</v>
      </c>
      <c r="G20" t="s">
        <v>361</v>
      </c>
      <c r="H20" t="s">
        <v>818</v>
      </c>
      <c r="J20" t="s">
        <v>1131</v>
      </c>
      <c r="K20" t="s">
        <v>1452</v>
      </c>
      <c r="P20" t="s">
        <v>1932</v>
      </c>
      <c r="Q20" t="s">
        <v>1629</v>
      </c>
    </row>
    <row r="21" spans="6:17" x14ac:dyDescent="0.25">
      <c r="F21" t="s">
        <v>17</v>
      </c>
      <c r="G21" t="s">
        <v>399</v>
      </c>
      <c r="H21" t="s">
        <v>896</v>
      </c>
      <c r="J21" t="s">
        <v>1132</v>
      </c>
      <c r="K21" t="s">
        <v>1453</v>
      </c>
      <c r="P21" t="s">
        <v>1932</v>
      </c>
      <c r="Q21" t="s">
        <v>1630</v>
      </c>
    </row>
    <row r="22" spans="6:17" x14ac:dyDescent="0.25">
      <c r="F22" t="s">
        <v>17</v>
      </c>
      <c r="G22" t="s">
        <v>421</v>
      </c>
      <c r="H22" t="s">
        <v>1090</v>
      </c>
      <c r="J22" t="s">
        <v>1133</v>
      </c>
      <c r="K22" t="s">
        <v>1454</v>
      </c>
      <c r="P22" t="s">
        <v>1933</v>
      </c>
      <c r="Q22" t="s">
        <v>1187</v>
      </c>
    </row>
    <row r="23" spans="6:17" x14ac:dyDescent="0.25">
      <c r="F23" t="s">
        <v>17</v>
      </c>
      <c r="G23" t="s">
        <v>474</v>
      </c>
      <c r="H23" t="s">
        <v>481</v>
      </c>
      <c r="J23" t="s">
        <v>1134</v>
      </c>
      <c r="K23" t="s">
        <v>1445</v>
      </c>
      <c r="P23" t="s">
        <v>1933</v>
      </c>
      <c r="Q23" t="s">
        <v>1628</v>
      </c>
    </row>
    <row r="24" spans="6:17" x14ac:dyDescent="0.25">
      <c r="F24" t="s">
        <v>17</v>
      </c>
      <c r="G24" t="s">
        <v>480</v>
      </c>
      <c r="H24" t="s">
        <v>647</v>
      </c>
      <c r="J24" t="s">
        <v>1135</v>
      </c>
      <c r="K24" t="s">
        <v>1787</v>
      </c>
      <c r="P24" t="s">
        <v>1933</v>
      </c>
      <c r="Q24" t="s">
        <v>1623</v>
      </c>
    </row>
    <row r="25" spans="6:17" x14ac:dyDescent="0.25">
      <c r="F25" t="s">
        <v>17</v>
      </c>
      <c r="G25" t="s">
        <v>493</v>
      </c>
      <c r="H25" t="s">
        <v>875</v>
      </c>
      <c r="J25" t="s">
        <v>1785</v>
      </c>
      <c r="K25" t="s">
        <v>1786</v>
      </c>
      <c r="P25" t="s">
        <v>1933</v>
      </c>
      <c r="Q25" t="s">
        <v>1629</v>
      </c>
    </row>
    <row r="26" spans="6:17" x14ac:dyDescent="0.25">
      <c r="F26" t="s">
        <v>17</v>
      </c>
      <c r="G26" t="s">
        <v>500</v>
      </c>
      <c r="H26" t="s">
        <v>936</v>
      </c>
      <c r="J26" t="s">
        <v>1136</v>
      </c>
      <c r="K26" t="s">
        <v>1446</v>
      </c>
      <c r="P26" t="s">
        <v>1933</v>
      </c>
      <c r="Q26" t="s">
        <v>1630</v>
      </c>
    </row>
    <row r="27" spans="6:17" x14ac:dyDescent="0.25">
      <c r="F27" t="s">
        <v>17</v>
      </c>
      <c r="G27" t="s">
        <v>524</v>
      </c>
      <c r="H27" t="s">
        <v>1080</v>
      </c>
      <c r="J27" t="s">
        <v>1137</v>
      </c>
      <c r="K27" t="s">
        <v>1455</v>
      </c>
      <c r="P27" t="s">
        <v>1942</v>
      </c>
      <c r="Q27" t="s">
        <v>1187</v>
      </c>
    </row>
    <row r="28" spans="6:17" x14ac:dyDescent="0.25">
      <c r="F28" t="s">
        <v>17</v>
      </c>
      <c r="G28" t="s">
        <v>544</v>
      </c>
      <c r="H28" t="s">
        <v>299</v>
      </c>
      <c r="J28" t="s">
        <v>1138</v>
      </c>
      <c r="K28" t="s">
        <v>1394</v>
      </c>
      <c r="P28" t="s">
        <v>1942</v>
      </c>
      <c r="Q28" t="s">
        <v>1628</v>
      </c>
    </row>
    <row r="29" spans="6:17" x14ac:dyDescent="0.25">
      <c r="F29" t="s">
        <v>17</v>
      </c>
      <c r="G29" t="s">
        <v>555</v>
      </c>
      <c r="H29" t="s">
        <v>576</v>
      </c>
      <c r="J29" t="s">
        <v>1139</v>
      </c>
      <c r="K29" t="s">
        <v>1456</v>
      </c>
      <c r="P29" t="s">
        <v>1942</v>
      </c>
      <c r="Q29" t="s">
        <v>1623</v>
      </c>
    </row>
    <row r="30" spans="6:17" x14ac:dyDescent="0.25">
      <c r="F30" t="s">
        <v>17</v>
      </c>
      <c r="G30" t="s">
        <v>564</v>
      </c>
      <c r="H30" t="s">
        <v>501</v>
      </c>
      <c r="J30" t="s">
        <v>1773</v>
      </c>
      <c r="K30" t="s">
        <v>1773</v>
      </c>
      <c r="P30" t="s">
        <v>1942</v>
      </c>
      <c r="Q30" t="s">
        <v>1629</v>
      </c>
    </row>
    <row r="31" spans="6:17" x14ac:dyDescent="0.25">
      <c r="F31" t="s">
        <v>17</v>
      </c>
      <c r="G31" t="s">
        <v>575</v>
      </c>
      <c r="H31" t="s">
        <v>690</v>
      </c>
      <c r="J31" t="s">
        <v>1140</v>
      </c>
      <c r="K31" t="s">
        <v>1457</v>
      </c>
      <c r="P31" t="s">
        <v>1942</v>
      </c>
      <c r="Q31" t="s">
        <v>1630</v>
      </c>
    </row>
    <row r="32" spans="6:17" x14ac:dyDescent="0.25">
      <c r="F32" t="s">
        <v>17</v>
      </c>
      <c r="G32" t="s">
        <v>594</v>
      </c>
      <c r="H32" t="s">
        <v>749</v>
      </c>
      <c r="J32" t="s">
        <v>1141</v>
      </c>
      <c r="K32" t="s">
        <v>1458</v>
      </c>
      <c r="P32" t="s">
        <v>1943</v>
      </c>
      <c r="Q32" t="s">
        <v>1187</v>
      </c>
    </row>
    <row r="33" spans="6:17" x14ac:dyDescent="0.25">
      <c r="F33" t="s">
        <v>17</v>
      </c>
      <c r="G33" t="s">
        <v>614</v>
      </c>
      <c r="H33" t="s">
        <v>781</v>
      </c>
      <c r="J33" t="s">
        <v>1774</v>
      </c>
      <c r="K33" t="s">
        <v>1465</v>
      </c>
      <c r="P33" t="s">
        <v>1943</v>
      </c>
      <c r="Q33" t="s">
        <v>1628</v>
      </c>
    </row>
    <row r="34" spans="6:17" x14ac:dyDescent="0.25">
      <c r="F34" t="s">
        <v>17</v>
      </c>
      <c r="G34" t="s">
        <v>646</v>
      </c>
      <c r="H34" t="s">
        <v>911</v>
      </c>
      <c r="J34" t="s">
        <v>1142</v>
      </c>
      <c r="K34" t="s">
        <v>1142</v>
      </c>
      <c r="P34" t="s">
        <v>1943</v>
      </c>
      <c r="Q34" t="s">
        <v>1623</v>
      </c>
    </row>
    <row r="35" spans="6:17" x14ac:dyDescent="0.25">
      <c r="F35" t="s">
        <v>17</v>
      </c>
      <c r="G35" t="s">
        <v>674</v>
      </c>
      <c r="H35" t="s">
        <v>886</v>
      </c>
      <c r="J35" t="s">
        <v>1143</v>
      </c>
      <c r="K35" t="s">
        <v>1464</v>
      </c>
      <c r="P35" t="s">
        <v>1943</v>
      </c>
      <c r="Q35" t="s">
        <v>1629</v>
      </c>
    </row>
    <row r="36" spans="6:17" x14ac:dyDescent="0.25">
      <c r="F36" t="s">
        <v>17</v>
      </c>
      <c r="G36" t="s">
        <v>689</v>
      </c>
      <c r="H36" t="s">
        <v>400</v>
      </c>
      <c r="J36" t="s">
        <v>1144</v>
      </c>
      <c r="K36" t="s">
        <v>1463</v>
      </c>
      <c r="P36" t="s">
        <v>1943</v>
      </c>
      <c r="Q36" t="s">
        <v>1630</v>
      </c>
    </row>
    <row r="37" spans="6:17" x14ac:dyDescent="0.25">
      <c r="F37" t="s">
        <v>17</v>
      </c>
      <c r="G37" t="s">
        <v>730</v>
      </c>
      <c r="H37" t="s">
        <v>208</v>
      </c>
      <c r="J37" t="s">
        <v>1145</v>
      </c>
      <c r="K37" t="s">
        <v>1395</v>
      </c>
      <c r="P37" t="s">
        <v>1944</v>
      </c>
      <c r="Q37" t="s">
        <v>1187</v>
      </c>
    </row>
    <row r="38" spans="6:17" x14ac:dyDescent="0.25">
      <c r="F38" t="s">
        <v>17</v>
      </c>
      <c r="G38" t="s">
        <v>747</v>
      </c>
      <c r="H38" t="s">
        <v>525</v>
      </c>
      <c r="J38" t="s">
        <v>1146</v>
      </c>
      <c r="K38" t="s">
        <v>1462</v>
      </c>
      <c r="P38" t="s">
        <v>1944</v>
      </c>
      <c r="Q38" t="s">
        <v>1628</v>
      </c>
    </row>
    <row r="39" spans="6:17" x14ac:dyDescent="0.25">
      <c r="F39" t="s">
        <v>17</v>
      </c>
      <c r="G39" t="s">
        <v>755</v>
      </c>
      <c r="H39" t="s">
        <v>615</v>
      </c>
      <c r="J39" t="s">
        <v>1147</v>
      </c>
      <c r="K39" t="s">
        <v>1461</v>
      </c>
      <c r="P39" t="s">
        <v>1944</v>
      </c>
      <c r="Q39" t="s">
        <v>1623</v>
      </c>
    </row>
    <row r="40" spans="6:17" x14ac:dyDescent="0.25">
      <c r="F40" t="s">
        <v>17</v>
      </c>
      <c r="G40" t="s">
        <v>772</v>
      </c>
      <c r="H40" t="s">
        <v>756</v>
      </c>
      <c r="J40" t="s">
        <v>1148</v>
      </c>
      <c r="K40" t="s">
        <v>1459</v>
      </c>
      <c r="P40" t="s">
        <v>1944</v>
      </c>
      <c r="Q40" t="s">
        <v>1629</v>
      </c>
    </row>
    <row r="41" spans="6:17" x14ac:dyDescent="0.25">
      <c r="F41" t="s">
        <v>17</v>
      </c>
      <c r="G41" t="s">
        <v>1644</v>
      </c>
      <c r="H41" t="s">
        <v>1643</v>
      </c>
      <c r="J41" t="s">
        <v>1149</v>
      </c>
      <c r="K41" t="s">
        <v>1460</v>
      </c>
      <c r="P41" t="s">
        <v>1944</v>
      </c>
      <c r="Q41" t="s">
        <v>1630</v>
      </c>
    </row>
    <row r="42" spans="6:17" x14ac:dyDescent="0.25">
      <c r="F42" t="s">
        <v>17</v>
      </c>
      <c r="G42" t="s">
        <v>817</v>
      </c>
      <c r="H42" t="s">
        <v>556</v>
      </c>
      <c r="J42" t="s">
        <v>1150</v>
      </c>
      <c r="K42" t="s">
        <v>1466</v>
      </c>
      <c r="P42" t="s">
        <v>1945</v>
      </c>
      <c r="Q42" t="s">
        <v>1187</v>
      </c>
    </row>
    <row r="43" spans="6:17" x14ac:dyDescent="0.25">
      <c r="F43" t="s">
        <v>17</v>
      </c>
      <c r="G43" t="s">
        <v>819</v>
      </c>
      <c r="H43" t="s">
        <v>106</v>
      </c>
      <c r="J43" t="s">
        <v>1151</v>
      </c>
      <c r="K43" t="s">
        <v>1151</v>
      </c>
      <c r="P43" t="s">
        <v>1945</v>
      </c>
      <c r="Q43" t="s">
        <v>1628</v>
      </c>
    </row>
    <row r="44" spans="6:17" x14ac:dyDescent="0.25">
      <c r="F44" t="s">
        <v>17</v>
      </c>
      <c r="G44" t="s">
        <v>874</v>
      </c>
      <c r="H44" t="s">
        <v>311</v>
      </c>
      <c r="J44" t="s">
        <v>1152</v>
      </c>
      <c r="K44" t="s">
        <v>1467</v>
      </c>
      <c r="P44" t="s">
        <v>1945</v>
      </c>
      <c r="Q44" t="s">
        <v>1623</v>
      </c>
    </row>
    <row r="45" spans="6:17" x14ac:dyDescent="0.25">
      <c r="F45" t="s">
        <v>17</v>
      </c>
      <c r="G45" t="s">
        <v>885</v>
      </c>
      <c r="H45" t="s">
        <v>494</v>
      </c>
      <c r="J45" t="s">
        <v>1153</v>
      </c>
      <c r="K45" t="s">
        <v>1396</v>
      </c>
      <c r="P45" t="s">
        <v>1945</v>
      </c>
      <c r="Q45" t="s">
        <v>1629</v>
      </c>
    </row>
    <row r="46" spans="6:17" x14ac:dyDescent="0.25">
      <c r="F46" t="s">
        <v>17</v>
      </c>
      <c r="G46" t="s">
        <v>895</v>
      </c>
      <c r="H46" t="s">
        <v>675</v>
      </c>
      <c r="J46" t="s">
        <v>1154</v>
      </c>
      <c r="K46" t="s">
        <v>1468</v>
      </c>
      <c r="P46" t="s">
        <v>1945</v>
      </c>
      <c r="Q46" t="s">
        <v>1630</v>
      </c>
    </row>
    <row r="47" spans="6:17" x14ac:dyDescent="0.25">
      <c r="F47" t="s">
        <v>17</v>
      </c>
      <c r="G47" t="s">
        <v>897</v>
      </c>
      <c r="H47" t="s">
        <v>60</v>
      </c>
      <c r="J47" t="s">
        <v>1155</v>
      </c>
      <c r="K47" t="s">
        <v>1155</v>
      </c>
      <c r="P47" t="s">
        <v>1934</v>
      </c>
      <c r="Q47" t="s">
        <v>1187</v>
      </c>
    </row>
    <row r="48" spans="6:17" x14ac:dyDescent="0.25">
      <c r="F48" t="s">
        <v>17</v>
      </c>
      <c r="G48" t="s">
        <v>929</v>
      </c>
      <c r="H48" t="s">
        <v>362</v>
      </c>
      <c r="J48" t="s">
        <v>1470</v>
      </c>
      <c r="K48" t="s">
        <v>1469</v>
      </c>
      <c r="P48" t="s">
        <v>1934</v>
      </c>
      <c r="Q48" t="s">
        <v>1628</v>
      </c>
    </row>
    <row r="49" spans="6:17" x14ac:dyDescent="0.25">
      <c r="F49" t="s">
        <v>17</v>
      </c>
      <c r="G49" t="s">
        <v>935</v>
      </c>
      <c r="H49" t="s">
        <v>595</v>
      </c>
      <c r="J49" t="s">
        <v>1156</v>
      </c>
      <c r="K49" t="s">
        <v>1471</v>
      </c>
      <c r="P49" t="s">
        <v>1934</v>
      </c>
      <c r="Q49" t="s">
        <v>1623</v>
      </c>
    </row>
    <row r="50" spans="6:17" x14ac:dyDescent="0.25">
      <c r="F50" t="s">
        <v>17</v>
      </c>
      <c r="G50" t="s">
        <v>938</v>
      </c>
      <c r="H50" t="s">
        <v>820</v>
      </c>
      <c r="J50" t="s">
        <v>1478</v>
      </c>
      <c r="K50" t="s">
        <v>1477</v>
      </c>
      <c r="P50" t="s">
        <v>1934</v>
      </c>
      <c r="Q50" t="s">
        <v>1629</v>
      </c>
    </row>
    <row r="51" spans="6:17" x14ac:dyDescent="0.25">
      <c r="F51" t="s">
        <v>17</v>
      </c>
      <c r="G51" t="s">
        <v>1024</v>
      </c>
      <c r="H51" t="s">
        <v>233</v>
      </c>
      <c r="J51" t="s">
        <v>1157</v>
      </c>
      <c r="K51" t="s">
        <v>1479</v>
      </c>
      <c r="P51" t="s">
        <v>1934</v>
      </c>
      <c r="Q51" t="s">
        <v>1630</v>
      </c>
    </row>
    <row r="52" spans="6:17" x14ac:dyDescent="0.25">
      <c r="F52" t="s">
        <v>17</v>
      </c>
      <c r="G52" t="s">
        <v>1035</v>
      </c>
      <c r="H52" t="s">
        <v>475</v>
      </c>
      <c r="J52" t="s">
        <v>1158</v>
      </c>
      <c r="K52" t="s">
        <v>1472</v>
      </c>
      <c r="P52" t="s">
        <v>1935</v>
      </c>
      <c r="Q52" t="s">
        <v>1187</v>
      </c>
    </row>
    <row r="53" spans="6:17" x14ac:dyDescent="0.25">
      <c r="F53" t="s">
        <v>17</v>
      </c>
      <c r="G53" t="s">
        <v>1079</v>
      </c>
      <c r="H53" t="s">
        <v>773</v>
      </c>
      <c r="J53" t="s">
        <v>1159</v>
      </c>
      <c r="K53" t="s">
        <v>1473</v>
      </c>
      <c r="P53" t="s">
        <v>1935</v>
      </c>
      <c r="Q53" t="s">
        <v>1628</v>
      </c>
    </row>
    <row r="54" spans="6:17" x14ac:dyDescent="0.25">
      <c r="F54" t="s">
        <v>17</v>
      </c>
      <c r="G54" t="s">
        <v>1089</v>
      </c>
      <c r="H54" t="s">
        <v>1036</v>
      </c>
      <c r="J54" t="s">
        <v>1160</v>
      </c>
      <c r="K54" t="s">
        <v>1480</v>
      </c>
      <c r="P54" t="s">
        <v>1935</v>
      </c>
      <c r="Q54" t="s">
        <v>1623</v>
      </c>
    </row>
    <row r="55" spans="6:17" x14ac:dyDescent="0.25">
      <c r="F55" t="s">
        <v>22</v>
      </c>
      <c r="G55" t="s">
        <v>24</v>
      </c>
      <c r="H55" t="s">
        <v>145</v>
      </c>
      <c r="J55" t="s">
        <v>1162</v>
      </c>
      <c r="K55" t="s">
        <v>1397</v>
      </c>
      <c r="P55" t="s">
        <v>1935</v>
      </c>
      <c r="Q55" t="s">
        <v>1629</v>
      </c>
    </row>
    <row r="56" spans="6:17" x14ac:dyDescent="0.25">
      <c r="F56" t="s">
        <v>22</v>
      </c>
      <c r="G56" t="s">
        <v>45</v>
      </c>
      <c r="H56" t="s">
        <v>360</v>
      </c>
      <c r="J56" t="s">
        <v>1161</v>
      </c>
      <c r="K56" t="s">
        <v>1398</v>
      </c>
      <c r="P56" t="s">
        <v>1935</v>
      </c>
      <c r="Q56" t="s">
        <v>1630</v>
      </c>
    </row>
    <row r="57" spans="6:17" x14ac:dyDescent="0.25">
      <c r="F57" t="s">
        <v>22</v>
      </c>
      <c r="G57" t="s">
        <v>132</v>
      </c>
      <c r="H57" t="s">
        <v>492</v>
      </c>
      <c r="J57" t="s">
        <v>1163</v>
      </c>
      <c r="K57" t="s">
        <v>1474</v>
      </c>
      <c r="P57" t="s">
        <v>1936</v>
      </c>
      <c r="Q57" t="s">
        <v>1187</v>
      </c>
    </row>
    <row r="58" spans="6:17" x14ac:dyDescent="0.25">
      <c r="F58" t="s">
        <v>22</v>
      </c>
      <c r="G58" t="s">
        <v>135</v>
      </c>
      <c r="H58" t="s">
        <v>1645</v>
      </c>
      <c r="J58" t="s">
        <v>1165</v>
      </c>
      <c r="K58" t="s">
        <v>1399</v>
      </c>
      <c r="P58" t="s">
        <v>1936</v>
      </c>
      <c r="Q58" t="s">
        <v>1628</v>
      </c>
    </row>
    <row r="59" spans="6:17" x14ac:dyDescent="0.25">
      <c r="F59" t="s">
        <v>22</v>
      </c>
      <c r="G59" t="s">
        <v>144</v>
      </c>
      <c r="H59" t="s">
        <v>762</v>
      </c>
      <c r="J59" t="s">
        <v>1164</v>
      </c>
      <c r="K59" t="s">
        <v>1164</v>
      </c>
      <c r="P59" t="s">
        <v>1936</v>
      </c>
      <c r="Q59" t="s">
        <v>1623</v>
      </c>
    </row>
    <row r="60" spans="6:17" x14ac:dyDescent="0.25">
      <c r="F60" t="s">
        <v>22</v>
      </c>
      <c r="G60" t="s">
        <v>166</v>
      </c>
      <c r="H60" t="s">
        <v>1001</v>
      </c>
      <c r="J60" t="s">
        <v>1166</v>
      </c>
      <c r="K60" t="s">
        <v>1475</v>
      </c>
      <c r="P60" t="s">
        <v>1936</v>
      </c>
      <c r="Q60" t="s">
        <v>1629</v>
      </c>
    </row>
    <row r="61" spans="6:17" x14ac:dyDescent="0.25">
      <c r="F61" t="s">
        <v>22</v>
      </c>
      <c r="G61" t="s">
        <v>172</v>
      </c>
      <c r="H61" t="s">
        <v>1065</v>
      </c>
      <c r="J61" t="s">
        <v>1167</v>
      </c>
      <c r="K61" t="s">
        <v>1400</v>
      </c>
      <c r="P61" t="s">
        <v>1936</v>
      </c>
      <c r="Q61" t="s">
        <v>1630</v>
      </c>
    </row>
    <row r="62" spans="6:17" x14ac:dyDescent="0.25">
      <c r="F62" t="s">
        <v>22</v>
      </c>
      <c r="G62" t="s">
        <v>184</v>
      </c>
      <c r="H62" t="s">
        <v>218</v>
      </c>
      <c r="J62" t="s">
        <v>1168</v>
      </c>
      <c r="K62" t="s">
        <v>1476</v>
      </c>
      <c r="P62" t="s">
        <v>1937</v>
      </c>
      <c r="Q62" t="s">
        <v>1187</v>
      </c>
    </row>
    <row r="63" spans="6:17" x14ac:dyDescent="0.25">
      <c r="F63" t="s">
        <v>22</v>
      </c>
      <c r="G63" t="s">
        <v>201</v>
      </c>
      <c r="H63" t="s">
        <v>485</v>
      </c>
      <c r="J63" t="s">
        <v>1169</v>
      </c>
      <c r="K63" t="s">
        <v>1401</v>
      </c>
      <c r="P63" t="s">
        <v>1937</v>
      </c>
      <c r="Q63" t="s">
        <v>1628</v>
      </c>
    </row>
    <row r="64" spans="6:17" x14ac:dyDescent="0.25">
      <c r="F64" t="s">
        <v>22</v>
      </c>
      <c r="G64" t="s">
        <v>217</v>
      </c>
      <c r="H64" t="s">
        <v>496</v>
      </c>
      <c r="J64" t="s">
        <v>1170</v>
      </c>
      <c r="K64" t="s">
        <v>1481</v>
      </c>
      <c r="P64" t="s">
        <v>1937</v>
      </c>
      <c r="Q64" t="s">
        <v>1623</v>
      </c>
    </row>
    <row r="65" spans="6:17" x14ac:dyDescent="0.25">
      <c r="F65" t="s">
        <v>22</v>
      </c>
      <c r="G65" t="s">
        <v>234</v>
      </c>
      <c r="H65" t="s">
        <v>503</v>
      </c>
      <c r="J65" t="s">
        <v>1171</v>
      </c>
      <c r="K65" t="s">
        <v>1402</v>
      </c>
      <c r="P65" t="s">
        <v>1937</v>
      </c>
      <c r="Q65" t="s">
        <v>1629</v>
      </c>
    </row>
    <row r="66" spans="6:17" x14ac:dyDescent="0.25">
      <c r="F66" t="s">
        <v>22</v>
      </c>
      <c r="G66" t="s">
        <v>238</v>
      </c>
      <c r="H66" t="s">
        <v>991</v>
      </c>
      <c r="J66" t="s">
        <v>1172</v>
      </c>
      <c r="K66" t="s">
        <v>1172</v>
      </c>
      <c r="P66" t="s">
        <v>1937</v>
      </c>
      <c r="Q66" t="s">
        <v>1630</v>
      </c>
    </row>
    <row r="67" spans="6:17" x14ac:dyDescent="0.25">
      <c r="F67" t="s">
        <v>22</v>
      </c>
      <c r="G67" t="s">
        <v>256</v>
      </c>
      <c r="H67" t="s">
        <v>705</v>
      </c>
      <c r="J67" t="s">
        <v>1173</v>
      </c>
      <c r="K67" t="s">
        <v>1482</v>
      </c>
      <c r="P67" t="s">
        <v>1946</v>
      </c>
      <c r="Q67" t="s">
        <v>1187</v>
      </c>
    </row>
    <row r="68" spans="6:17" x14ac:dyDescent="0.25">
      <c r="F68" t="s">
        <v>22</v>
      </c>
      <c r="G68" t="s">
        <v>274</v>
      </c>
      <c r="H68" t="s">
        <v>257</v>
      </c>
      <c r="J68" t="s">
        <v>1174</v>
      </c>
      <c r="K68" t="s">
        <v>1174</v>
      </c>
      <c r="P68" t="s">
        <v>1946</v>
      </c>
      <c r="Q68" t="s">
        <v>1628</v>
      </c>
    </row>
    <row r="69" spans="6:17" x14ac:dyDescent="0.25">
      <c r="F69" t="s">
        <v>22</v>
      </c>
      <c r="G69" t="s">
        <v>324</v>
      </c>
      <c r="H69" t="s">
        <v>446</v>
      </c>
      <c r="J69" t="s">
        <v>1175</v>
      </c>
      <c r="K69" t="s">
        <v>1175</v>
      </c>
      <c r="P69" t="s">
        <v>1946</v>
      </c>
      <c r="Q69" t="s">
        <v>1623</v>
      </c>
    </row>
    <row r="70" spans="6:17" x14ac:dyDescent="0.25">
      <c r="F70" t="s">
        <v>22</v>
      </c>
      <c r="G70" t="s">
        <v>338</v>
      </c>
      <c r="H70" t="s">
        <v>470</v>
      </c>
      <c r="J70" t="s">
        <v>1176</v>
      </c>
      <c r="K70" t="s">
        <v>1403</v>
      </c>
      <c r="P70" t="s">
        <v>1946</v>
      </c>
      <c r="Q70" t="s">
        <v>1629</v>
      </c>
    </row>
    <row r="71" spans="6:17" x14ac:dyDescent="0.25">
      <c r="F71" t="s">
        <v>22</v>
      </c>
      <c r="G71" t="s">
        <v>359</v>
      </c>
      <c r="H71" t="s">
        <v>483</v>
      </c>
      <c r="J71" t="s">
        <v>1177</v>
      </c>
      <c r="K71" t="s">
        <v>1177</v>
      </c>
      <c r="P71" t="s">
        <v>1946</v>
      </c>
      <c r="Q71" t="s">
        <v>1630</v>
      </c>
    </row>
    <row r="72" spans="6:17" x14ac:dyDescent="0.25">
      <c r="F72" t="s">
        <v>22</v>
      </c>
      <c r="G72" t="s">
        <v>373</v>
      </c>
      <c r="H72" t="s">
        <v>879</v>
      </c>
      <c r="J72" t="s">
        <v>1178</v>
      </c>
      <c r="K72" t="s">
        <v>1178</v>
      </c>
      <c r="P72" t="s">
        <v>1947</v>
      </c>
      <c r="Q72" t="s">
        <v>1187</v>
      </c>
    </row>
    <row r="73" spans="6:17" x14ac:dyDescent="0.25">
      <c r="F73" t="s">
        <v>22</v>
      </c>
      <c r="G73" t="s">
        <v>380</v>
      </c>
      <c r="H73" t="s">
        <v>736</v>
      </c>
      <c r="J73" t="s">
        <v>1179</v>
      </c>
      <c r="K73" t="s">
        <v>1538</v>
      </c>
      <c r="P73" t="s">
        <v>1947</v>
      </c>
      <c r="Q73" t="s">
        <v>1628</v>
      </c>
    </row>
    <row r="74" spans="6:17" x14ac:dyDescent="0.25">
      <c r="F74" t="s">
        <v>22</v>
      </c>
      <c r="G74" t="s">
        <v>445</v>
      </c>
      <c r="H74" t="s">
        <v>812</v>
      </c>
      <c r="J74" t="s">
        <v>1180</v>
      </c>
      <c r="K74" t="s">
        <v>1540</v>
      </c>
      <c r="P74" t="s">
        <v>1947</v>
      </c>
      <c r="Q74" t="s">
        <v>1623</v>
      </c>
    </row>
    <row r="75" spans="6:17" x14ac:dyDescent="0.25">
      <c r="F75" t="s">
        <v>22</v>
      </c>
      <c r="G75" t="s">
        <v>469</v>
      </c>
      <c r="H75" t="s">
        <v>374</v>
      </c>
      <c r="J75" t="s">
        <v>1181</v>
      </c>
      <c r="K75" t="s">
        <v>1181</v>
      </c>
      <c r="P75" t="s">
        <v>1947</v>
      </c>
      <c r="Q75" t="s">
        <v>1629</v>
      </c>
    </row>
    <row r="76" spans="6:17" x14ac:dyDescent="0.25">
      <c r="F76" t="s">
        <v>22</v>
      </c>
      <c r="G76" t="s">
        <v>482</v>
      </c>
      <c r="H76" t="s">
        <v>572</v>
      </c>
      <c r="J76" t="s">
        <v>1182</v>
      </c>
      <c r="K76" t="s">
        <v>1541</v>
      </c>
      <c r="P76" t="s">
        <v>1947</v>
      </c>
      <c r="Q76" t="s">
        <v>1630</v>
      </c>
    </row>
    <row r="77" spans="6:17" x14ac:dyDescent="0.25">
      <c r="F77" t="s">
        <v>22</v>
      </c>
      <c r="G77" t="s">
        <v>484</v>
      </c>
      <c r="H77" t="s">
        <v>726</v>
      </c>
      <c r="J77" t="s">
        <v>1183</v>
      </c>
      <c r="K77" t="s">
        <v>1542</v>
      </c>
      <c r="P77" t="s">
        <v>1948</v>
      </c>
      <c r="Q77" t="s">
        <v>1187</v>
      </c>
    </row>
    <row r="78" spans="6:17" x14ac:dyDescent="0.25">
      <c r="F78" t="s">
        <v>22</v>
      </c>
      <c r="G78" t="s">
        <v>1647</v>
      </c>
      <c r="H78" t="s">
        <v>1646</v>
      </c>
      <c r="J78" t="s">
        <v>1184</v>
      </c>
      <c r="K78" t="s">
        <v>1543</v>
      </c>
      <c r="P78" t="s">
        <v>1948</v>
      </c>
      <c r="Q78" t="s">
        <v>1628</v>
      </c>
    </row>
    <row r="79" spans="6:17" x14ac:dyDescent="0.25">
      <c r="F79" t="s">
        <v>22</v>
      </c>
      <c r="G79" t="s">
        <v>495</v>
      </c>
      <c r="H79" t="s">
        <v>275</v>
      </c>
      <c r="J79" t="s">
        <v>1185</v>
      </c>
      <c r="K79" t="s">
        <v>1544</v>
      </c>
      <c r="P79" t="s">
        <v>1948</v>
      </c>
      <c r="Q79" t="s">
        <v>1623</v>
      </c>
    </row>
    <row r="80" spans="6:17" x14ac:dyDescent="0.25">
      <c r="F80" t="s">
        <v>22</v>
      </c>
      <c r="G80" t="s">
        <v>502</v>
      </c>
      <c r="H80" t="s">
        <v>381</v>
      </c>
      <c r="J80" t="s">
        <v>1186</v>
      </c>
      <c r="K80" t="s">
        <v>1539</v>
      </c>
      <c r="P80" t="s">
        <v>1948</v>
      </c>
      <c r="Q80" t="s">
        <v>1629</v>
      </c>
    </row>
    <row r="81" spans="6:17" x14ac:dyDescent="0.25">
      <c r="F81" t="s">
        <v>22</v>
      </c>
      <c r="G81" t="s">
        <v>522</v>
      </c>
      <c r="H81" t="s">
        <v>639</v>
      </c>
      <c r="J81" t="s">
        <v>1188</v>
      </c>
      <c r="K81" t="s">
        <v>1545</v>
      </c>
      <c r="P81" t="s">
        <v>1948</v>
      </c>
      <c r="Q81" t="s">
        <v>1630</v>
      </c>
    </row>
    <row r="82" spans="6:17" x14ac:dyDescent="0.25">
      <c r="F82" t="s">
        <v>22</v>
      </c>
      <c r="G82" t="s">
        <v>541</v>
      </c>
      <c r="H82" t="s">
        <v>185</v>
      </c>
      <c r="J82" t="s">
        <v>1189</v>
      </c>
      <c r="K82" t="s">
        <v>1546</v>
      </c>
      <c r="P82" t="s">
        <v>1949</v>
      </c>
      <c r="Q82" t="s">
        <v>1187</v>
      </c>
    </row>
    <row r="83" spans="6:17" x14ac:dyDescent="0.25">
      <c r="F83" t="s">
        <v>22</v>
      </c>
      <c r="G83" t="s">
        <v>571</v>
      </c>
      <c r="H83" t="s">
        <v>25</v>
      </c>
      <c r="J83" t="s">
        <v>1190</v>
      </c>
      <c r="K83" t="s">
        <v>1547</v>
      </c>
      <c r="P83" t="s">
        <v>1949</v>
      </c>
      <c r="Q83" t="s">
        <v>1628</v>
      </c>
    </row>
    <row r="84" spans="6:17" x14ac:dyDescent="0.25">
      <c r="F84" t="s">
        <v>22</v>
      </c>
      <c r="G84" t="s">
        <v>588</v>
      </c>
      <c r="H84" t="s">
        <v>637</v>
      </c>
      <c r="J84" t="s">
        <v>1187</v>
      </c>
      <c r="K84" t="s">
        <v>1187</v>
      </c>
      <c r="P84" t="s">
        <v>1949</v>
      </c>
      <c r="Q84" t="s">
        <v>1623</v>
      </c>
    </row>
    <row r="85" spans="6:17" x14ac:dyDescent="0.25">
      <c r="F85" t="s">
        <v>22</v>
      </c>
      <c r="G85" t="s">
        <v>630</v>
      </c>
      <c r="H85" t="s">
        <v>235</v>
      </c>
      <c r="J85" t="s">
        <v>1191</v>
      </c>
      <c r="K85" t="s">
        <v>1191</v>
      </c>
      <c r="P85" t="s">
        <v>1949</v>
      </c>
      <c r="Q85" t="s">
        <v>1629</v>
      </c>
    </row>
    <row r="86" spans="6:17" x14ac:dyDescent="0.25">
      <c r="F86" t="s">
        <v>22</v>
      </c>
      <c r="G86" t="s">
        <v>636</v>
      </c>
      <c r="H86" t="s">
        <v>702</v>
      </c>
      <c r="J86" t="s">
        <v>1192</v>
      </c>
      <c r="K86" t="s">
        <v>1192</v>
      </c>
      <c r="P86" t="s">
        <v>1949</v>
      </c>
      <c r="Q86" t="s">
        <v>1630</v>
      </c>
    </row>
    <row r="87" spans="6:17" x14ac:dyDescent="0.25">
      <c r="F87" t="s">
        <v>22</v>
      </c>
      <c r="G87" t="s">
        <v>638</v>
      </c>
      <c r="H87" t="s">
        <v>995</v>
      </c>
      <c r="J87" t="s">
        <v>1193</v>
      </c>
      <c r="K87" t="s">
        <v>1548</v>
      </c>
    </row>
    <row r="88" spans="6:17" x14ac:dyDescent="0.25">
      <c r="F88" t="s">
        <v>22</v>
      </c>
      <c r="G88" t="s">
        <v>640</v>
      </c>
      <c r="H88" t="s">
        <v>46</v>
      </c>
      <c r="J88" t="s">
        <v>1194</v>
      </c>
      <c r="K88" t="s">
        <v>1549</v>
      </c>
    </row>
    <row r="89" spans="6:17" x14ac:dyDescent="0.25">
      <c r="F89" t="s">
        <v>22</v>
      </c>
      <c r="G89" t="s">
        <v>648</v>
      </c>
      <c r="H89" t="s">
        <v>641</v>
      </c>
      <c r="J89" t="s">
        <v>1195</v>
      </c>
      <c r="K89" t="s">
        <v>1550</v>
      </c>
    </row>
    <row r="90" spans="6:17" x14ac:dyDescent="0.25">
      <c r="F90" t="s">
        <v>22</v>
      </c>
      <c r="G90" t="s">
        <v>670</v>
      </c>
      <c r="H90" t="s">
        <v>649</v>
      </c>
      <c r="J90" t="s">
        <v>1196</v>
      </c>
      <c r="K90" t="s">
        <v>1551</v>
      </c>
    </row>
    <row r="91" spans="6:17" x14ac:dyDescent="0.25">
      <c r="F91" t="s">
        <v>22</v>
      </c>
      <c r="G91" t="s">
        <v>704</v>
      </c>
      <c r="H91" t="s">
        <v>980</v>
      </c>
      <c r="J91" t="s">
        <v>1197</v>
      </c>
      <c r="K91" t="s">
        <v>1552</v>
      </c>
    </row>
    <row r="92" spans="6:17" x14ac:dyDescent="0.25">
      <c r="F92" t="s">
        <v>22</v>
      </c>
      <c r="G92" t="s">
        <v>725</v>
      </c>
      <c r="H92" t="s">
        <v>173</v>
      </c>
      <c r="J92" t="s">
        <v>1198</v>
      </c>
      <c r="K92" t="s">
        <v>1553</v>
      </c>
    </row>
    <row r="93" spans="6:17" x14ac:dyDescent="0.25">
      <c r="F93" t="s">
        <v>22</v>
      </c>
      <c r="G93" t="s">
        <v>735</v>
      </c>
      <c r="H93" t="s">
        <v>239</v>
      </c>
      <c r="J93" t="s">
        <v>1200</v>
      </c>
      <c r="K93" t="s">
        <v>1555</v>
      </c>
    </row>
    <row r="94" spans="6:17" x14ac:dyDescent="0.25">
      <c r="F94" t="s">
        <v>22</v>
      </c>
      <c r="G94" t="s">
        <v>740</v>
      </c>
      <c r="H94" t="s">
        <v>523</v>
      </c>
      <c r="J94" t="s">
        <v>1201</v>
      </c>
      <c r="K94" t="s">
        <v>1554</v>
      </c>
    </row>
    <row r="95" spans="6:17" x14ac:dyDescent="0.25">
      <c r="F95" t="s">
        <v>22</v>
      </c>
      <c r="G95" t="s">
        <v>761</v>
      </c>
      <c r="H95" t="s">
        <v>589</v>
      </c>
      <c r="J95" t="s">
        <v>1775</v>
      </c>
      <c r="K95" t="s">
        <v>1776</v>
      </c>
    </row>
    <row r="96" spans="6:17" x14ac:dyDescent="0.25">
      <c r="F96" t="s">
        <v>22</v>
      </c>
      <c r="G96" t="s">
        <v>786</v>
      </c>
      <c r="H96" t="s">
        <v>631</v>
      </c>
      <c r="J96" t="s">
        <v>1202</v>
      </c>
      <c r="K96" t="s">
        <v>1556</v>
      </c>
    </row>
    <row r="97" spans="6:11" x14ac:dyDescent="0.25">
      <c r="F97" t="s">
        <v>22</v>
      </c>
      <c r="G97" t="s">
        <v>811</v>
      </c>
      <c r="H97" t="s">
        <v>325</v>
      </c>
      <c r="J97" t="s">
        <v>1199</v>
      </c>
      <c r="K97" t="s">
        <v>1199</v>
      </c>
    </row>
    <row r="98" spans="6:11" x14ac:dyDescent="0.25">
      <c r="F98" t="s">
        <v>22</v>
      </c>
      <c r="G98" t="s">
        <v>878</v>
      </c>
      <c r="H98" t="s">
        <v>542</v>
      </c>
      <c r="J98" t="s">
        <v>1203</v>
      </c>
      <c r="K98" t="s">
        <v>1557</v>
      </c>
    </row>
    <row r="99" spans="6:11" x14ac:dyDescent="0.25">
      <c r="F99" t="s">
        <v>22</v>
      </c>
      <c r="G99" t="s">
        <v>880</v>
      </c>
      <c r="H99" t="s">
        <v>671</v>
      </c>
      <c r="J99" t="s">
        <v>1204</v>
      </c>
      <c r="K99" t="s">
        <v>1204</v>
      </c>
    </row>
    <row r="100" spans="6:11" x14ac:dyDescent="0.25">
      <c r="F100" t="s">
        <v>22</v>
      </c>
      <c r="G100" t="s">
        <v>987</v>
      </c>
      <c r="H100" t="s">
        <v>167</v>
      </c>
      <c r="J100" t="s">
        <v>1205</v>
      </c>
      <c r="K100" t="s">
        <v>1558</v>
      </c>
    </row>
    <row r="101" spans="6:11" x14ac:dyDescent="0.25">
      <c r="F101" t="s">
        <v>22</v>
      </c>
      <c r="G101" t="s">
        <v>986</v>
      </c>
      <c r="H101" t="s">
        <v>339</v>
      </c>
      <c r="J101" t="s">
        <v>1206</v>
      </c>
      <c r="K101" t="s">
        <v>1559</v>
      </c>
    </row>
    <row r="102" spans="6:11" x14ac:dyDescent="0.25">
      <c r="F102" t="s">
        <v>22</v>
      </c>
      <c r="G102" t="s">
        <v>990</v>
      </c>
      <c r="H102" t="s">
        <v>787</v>
      </c>
      <c r="J102" t="s">
        <v>1207</v>
      </c>
      <c r="K102" t="s">
        <v>1560</v>
      </c>
    </row>
    <row r="103" spans="6:11" x14ac:dyDescent="0.25">
      <c r="F103" t="s">
        <v>22</v>
      </c>
      <c r="G103" t="s">
        <v>994</v>
      </c>
      <c r="H103" t="s">
        <v>881</v>
      </c>
      <c r="J103" t="s">
        <v>1208</v>
      </c>
      <c r="K103" t="s">
        <v>1561</v>
      </c>
    </row>
    <row r="104" spans="6:11" x14ac:dyDescent="0.25">
      <c r="F104" t="s">
        <v>22</v>
      </c>
      <c r="G104" t="s">
        <v>1000</v>
      </c>
      <c r="H104" t="s">
        <v>202</v>
      </c>
      <c r="J104" t="s">
        <v>1210</v>
      </c>
      <c r="K104" t="s">
        <v>1562</v>
      </c>
    </row>
    <row r="105" spans="6:11" x14ac:dyDescent="0.25">
      <c r="F105" t="s">
        <v>4</v>
      </c>
      <c r="G105" t="s">
        <v>7</v>
      </c>
      <c r="H105" t="s">
        <v>344</v>
      </c>
      <c r="J105" t="s">
        <v>1211</v>
      </c>
      <c r="K105" t="s">
        <v>1404</v>
      </c>
    </row>
    <row r="106" spans="6:11" x14ac:dyDescent="0.25">
      <c r="F106" t="s">
        <v>4</v>
      </c>
      <c r="G106" t="s">
        <v>9</v>
      </c>
      <c r="H106" t="s">
        <v>40</v>
      </c>
      <c r="J106" t="s">
        <v>1213</v>
      </c>
      <c r="K106" t="s">
        <v>1563</v>
      </c>
    </row>
    <row r="107" spans="6:11" x14ac:dyDescent="0.25">
      <c r="F107" t="s">
        <v>4</v>
      </c>
      <c r="G107" t="s">
        <v>11</v>
      </c>
      <c r="H107" t="s">
        <v>189</v>
      </c>
      <c r="J107" t="s">
        <v>1214</v>
      </c>
      <c r="K107" t="s">
        <v>1564</v>
      </c>
    </row>
    <row r="108" spans="6:11" x14ac:dyDescent="0.25">
      <c r="F108" t="s">
        <v>4</v>
      </c>
      <c r="G108" t="s">
        <v>39</v>
      </c>
      <c r="H108" t="s">
        <v>206</v>
      </c>
      <c r="J108" t="s">
        <v>1209</v>
      </c>
      <c r="K108" t="s">
        <v>1405</v>
      </c>
    </row>
    <row r="109" spans="6:11" x14ac:dyDescent="0.25">
      <c r="F109" t="s">
        <v>4</v>
      </c>
      <c r="G109" t="s">
        <v>55</v>
      </c>
      <c r="H109" t="s">
        <v>282</v>
      </c>
      <c r="J109" t="s">
        <v>1215</v>
      </c>
      <c r="K109" t="s">
        <v>1215</v>
      </c>
    </row>
    <row r="110" spans="6:11" x14ac:dyDescent="0.25">
      <c r="F110" t="s">
        <v>4</v>
      </c>
      <c r="G110" t="s">
        <v>61</v>
      </c>
      <c r="H110" t="s">
        <v>764</v>
      </c>
      <c r="J110" t="s">
        <v>1212</v>
      </c>
      <c r="K110" t="s">
        <v>1212</v>
      </c>
    </row>
    <row r="111" spans="6:11" x14ac:dyDescent="0.25">
      <c r="F111" t="s">
        <v>4</v>
      </c>
      <c r="G111" t="s">
        <v>144</v>
      </c>
      <c r="H111" t="s">
        <v>348</v>
      </c>
      <c r="J111" t="s">
        <v>1216</v>
      </c>
      <c r="K111" t="s">
        <v>1216</v>
      </c>
    </row>
    <row r="112" spans="6:11" x14ac:dyDescent="0.25">
      <c r="F112" t="s">
        <v>4</v>
      </c>
      <c r="G112" t="s">
        <v>162</v>
      </c>
      <c r="H112" t="s">
        <v>1020</v>
      </c>
      <c r="J112" t="s">
        <v>1217</v>
      </c>
      <c r="K112" t="s">
        <v>1217</v>
      </c>
    </row>
    <row r="113" spans="6:11" x14ac:dyDescent="0.25">
      <c r="F113" t="s">
        <v>4</v>
      </c>
      <c r="G113" t="s">
        <v>175</v>
      </c>
      <c r="H113" t="s">
        <v>62</v>
      </c>
      <c r="J113" t="s">
        <v>1218</v>
      </c>
      <c r="K113" t="s">
        <v>1565</v>
      </c>
    </row>
    <row r="114" spans="6:11" x14ac:dyDescent="0.25">
      <c r="F114" t="s">
        <v>4</v>
      </c>
      <c r="G114" t="s">
        <v>188</v>
      </c>
      <c r="H114" t="s">
        <v>1018</v>
      </c>
      <c r="J114" t="s">
        <v>1219</v>
      </c>
      <c r="K114" t="s">
        <v>1406</v>
      </c>
    </row>
    <row r="115" spans="6:11" x14ac:dyDescent="0.25">
      <c r="F115" t="s">
        <v>4</v>
      </c>
      <c r="G115" t="s">
        <v>205</v>
      </c>
      <c r="H115" t="s">
        <v>390</v>
      </c>
      <c r="J115" t="s">
        <v>1220</v>
      </c>
      <c r="K115" t="s">
        <v>1566</v>
      </c>
    </row>
    <row r="116" spans="6:11" x14ac:dyDescent="0.25">
      <c r="F116" t="s">
        <v>4</v>
      </c>
      <c r="G116" t="s">
        <v>228</v>
      </c>
      <c r="H116" t="s">
        <v>379</v>
      </c>
      <c r="J116" t="s">
        <v>1221</v>
      </c>
      <c r="K116" t="s">
        <v>1567</v>
      </c>
    </row>
    <row r="117" spans="6:11" x14ac:dyDescent="0.25">
      <c r="F117" t="s">
        <v>4</v>
      </c>
      <c r="G117" t="s">
        <v>236</v>
      </c>
      <c r="H117" t="s">
        <v>699</v>
      </c>
      <c r="J117" t="s">
        <v>1222</v>
      </c>
      <c r="K117" t="s">
        <v>1407</v>
      </c>
    </row>
    <row r="118" spans="6:11" x14ac:dyDescent="0.25">
      <c r="F118" t="s">
        <v>4</v>
      </c>
      <c r="G118" t="s">
        <v>253</v>
      </c>
      <c r="H118" t="s">
        <v>710</v>
      </c>
      <c r="J118" t="s">
        <v>1223</v>
      </c>
      <c r="K118" t="s">
        <v>1568</v>
      </c>
    </row>
    <row r="119" spans="6:11" x14ac:dyDescent="0.25">
      <c r="F119" t="s">
        <v>4</v>
      </c>
      <c r="G119" t="s">
        <v>281</v>
      </c>
      <c r="H119" t="s">
        <v>163</v>
      </c>
      <c r="J119" t="s">
        <v>1224</v>
      </c>
      <c r="K119" t="s">
        <v>1569</v>
      </c>
    </row>
    <row r="120" spans="6:11" x14ac:dyDescent="0.25">
      <c r="F120" t="s">
        <v>4</v>
      </c>
      <c r="G120" t="s">
        <v>285</v>
      </c>
      <c r="H120" t="s">
        <v>6</v>
      </c>
      <c r="J120" t="s">
        <v>1225</v>
      </c>
      <c r="K120" t="s">
        <v>1408</v>
      </c>
    </row>
    <row r="121" spans="6:11" x14ac:dyDescent="0.25">
      <c r="F121" t="s">
        <v>4</v>
      </c>
      <c r="G121" t="s">
        <v>294</v>
      </c>
      <c r="H121" t="s">
        <v>435</v>
      </c>
      <c r="J121" t="s">
        <v>1226</v>
      </c>
      <c r="K121" t="s">
        <v>1571</v>
      </c>
    </row>
    <row r="122" spans="6:11" x14ac:dyDescent="0.25">
      <c r="F122" t="s">
        <v>4</v>
      </c>
      <c r="G122" t="s">
        <v>312</v>
      </c>
      <c r="H122" t="s">
        <v>440</v>
      </c>
      <c r="J122" t="s">
        <v>1227</v>
      </c>
      <c r="K122" t="s">
        <v>1572</v>
      </c>
    </row>
    <row r="123" spans="6:11" x14ac:dyDescent="0.25">
      <c r="F123" t="s">
        <v>4</v>
      </c>
      <c r="G123" t="s">
        <v>347</v>
      </c>
      <c r="H123" t="s">
        <v>552</v>
      </c>
      <c r="J123" t="s">
        <v>1228</v>
      </c>
      <c r="K123" t="s">
        <v>1228</v>
      </c>
    </row>
    <row r="124" spans="6:11" x14ac:dyDescent="0.25">
      <c r="F124" t="s">
        <v>4</v>
      </c>
      <c r="G124" t="s">
        <v>363</v>
      </c>
      <c r="H124" t="s">
        <v>1038</v>
      </c>
      <c r="J124" t="s">
        <v>1229</v>
      </c>
      <c r="K124" t="s">
        <v>1573</v>
      </c>
    </row>
    <row r="125" spans="6:11" x14ac:dyDescent="0.25">
      <c r="F125" t="s">
        <v>4</v>
      </c>
      <c r="G125" t="s">
        <v>378</v>
      </c>
      <c r="H125" t="s">
        <v>146</v>
      </c>
      <c r="J125" t="s">
        <v>1230</v>
      </c>
      <c r="K125" t="s">
        <v>1574</v>
      </c>
    </row>
    <row r="126" spans="6:11" x14ac:dyDescent="0.25">
      <c r="F126" t="s">
        <v>4</v>
      </c>
      <c r="G126" t="s">
        <v>387</v>
      </c>
      <c r="H126" t="s">
        <v>237</v>
      </c>
      <c r="J126" t="s">
        <v>1231</v>
      </c>
      <c r="K126" t="s">
        <v>1570</v>
      </c>
    </row>
    <row r="127" spans="6:11" x14ac:dyDescent="0.25">
      <c r="F127" t="s">
        <v>4</v>
      </c>
      <c r="G127" t="s">
        <v>389</v>
      </c>
      <c r="H127" t="s">
        <v>263</v>
      </c>
      <c r="J127" t="s">
        <v>1232</v>
      </c>
      <c r="K127" t="s">
        <v>1232</v>
      </c>
    </row>
    <row r="128" spans="6:11" x14ac:dyDescent="0.25">
      <c r="F128" t="s">
        <v>4</v>
      </c>
      <c r="G128" t="s">
        <v>417</v>
      </c>
      <c r="H128" t="s">
        <v>364</v>
      </c>
      <c r="J128" t="s">
        <v>1233</v>
      </c>
      <c r="K128" t="s">
        <v>1575</v>
      </c>
    </row>
    <row r="129" spans="6:11" x14ac:dyDescent="0.25">
      <c r="F129" t="s">
        <v>4</v>
      </c>
      <c r="G129" t="s">
        <v>1648</v>
      </c>
      <c r="H129" t="s">
        <v>356</v>
      </c>
      <c r="J129" t="s">
        <v>1234</v>
      </c>
      <c r="K129" t="s">
        <v>1240</v>
      </c>
    </row>
    <row r="130" spans="6:11" x14ac:dyDescent="0.25">
      <c r="F130" t="s">
        <v>4</v>
      </c>
      <c r="G130" t="s">
        <v>439</v>
      </c>
      <c r="H130" t="s">
        <v>591</v>
      </c>
      <c r="J130" t="s">
        <v>1235</v>
      </c>
      <c r="K130" t="s">
        <v>1235</v>
      </c>
    </row>
    <row r="131" spans="6:11" x14ac:dyDescent="0.25">
      <c r="F131" t="s">
        <v>4</v>
      </c>
      <c r="G131" t="s">
        <v>473</v>
      </c>
      <c r="H131" t="s">
        <v>797</v>
      </c>
      <c r="J131" t="s">
        <v>1236</v>
      </c>
      <c r="K131" t="s">
        <v>1586</v>
      </c>
    </row>
    <row r="132" spans="6:11" x14ac:dyDescent="0.25">
      <c r="F132" t="s">
        <v>4</v>
      </c>
      <c r="G132" t="s">
        <v>539</v>
      </c>
      <c r="H132" t="s">
        <v>946</v>
      </c>
      <c r="J132" t="s">
        <v>1237</v>
      </c>
      <c r="K132" t="s">
        <v>1587</v>
      </c>
    </row>
    <row r="133" spans="6:11" x14ac:dyDescent="0.25">
      <c r="F133" t="s">
        <v>4</v>
      </c>
      <c r="G133" t="s">
        <v>551</v>
      </c>
      <c r="H133" t="s">
        <v>286</v>
      </c>
      <c r="J133" t="s">
        <v>1238</v>
      </c>
      <c r="K133" t="s">
        <v>1409</v>
      </c>
    </row>
    <row r="134" spans="6:11" x14ac:dyDescent="0.25">
      <c r="F134" t="s">
        <v>4</v>
      </c>
      <c r="G134" t="s">
        <v>553</v>
      </c>
      <c r="H134" t="s">
        <v>314</v>
      </c>
      <c r="J134" t="s">
        <v>1239</v>
      </c>
      <c r="K134" t="s">
        <v>1410</v>
      </c>
    </row>
    <row r="135" spans="6:11" x14ac:dyDescent="0.25">
      <c r="F135" t="s">
        <v>4</v>
      </c>
      <c r="G135" t="s">
        <v>577</v>
      </c>
      <c r="H135" t="s">
        <v>958</v>
      </c>
      <c r="J135" t="s">
        <v>1241</v>
      </c>
      <c r="K135" t="s">
        <v>1411</v>
      </c>
    </row>
    <row r="136" spans="6:11" x14ac:dyDescent="0.25">
      <c r="F136" t="s">
        <v>4</v>
      </c>
      <c r="G136" t="s">
        <v>590</v>
      </c>
      <c r="H136" t="s">
        <v>745</v>
      </c>
      <c r="J136" t="s">
        <v>1242</v>
      </c>
      <c r="K136" t="s">
        <v>1242</v>
      </c>
    </row>
    <row r="137" spans="6:11" x14ac:dyDescent="0.25">
      <c r="F137" t="s">
        <v>4</v>
      </c>
      <c r="G137" t="s">
        <v>650</v>
      </c>
      <c r="H137" t="s">
        <v>176</v>
      </c>
      <c r="J137" t="s">
        <v>1243</v>
      </c>
      <c r="K137" t="s">
        <v>1588</v>
      </c>
    </row>
    <row r="138" spans="6:11" x14ac:dyDescent="0.25">
      <c r="F138" t="s">
        <v>4</v>
      </c>
      <c r="G138" t="s">
        <v>651</v>
      </c>
      <c r="H138" t="s">
        <v>229</v>
      </c>
      <c r="J138" t="s">
        <v>1244</v>
      </c>
      <c r="K138" t="s">
        <v>1589</v>
      </c>
    </row>
    <row r="139" spans="6:11" x14ac:dyDescent="0.25">
      <c r="F139" t="s">
        <v>4</v>
      </c>
      <c r="G139" t="s">
        <v>654</v>
      </c>
      <c r="H139" t="s">
        <v>254</v>
      </c>
      <c r="J139" t="s">
        <v>1591</v>
      </c>
      <c r="K139" t="s">
        <v>1590</v>
      </c>
    </row>
    <row r="140" spans="6:11" x14ac:dyDescent="0.25">
      <c r="F140" t="s">
        <v>4</v>
      </c>
      <c r="G140" t="s">
        <v>698</v>
      </c>
      <c r="H140" t="s">
        <v>655</v>
      </c>
      <c r="J140" t="s">
        <v>1246</v>
      </c>
      <c r="K140" t="s">
        <v>1592</v>
      </c>
    </row>
    <row r="141" spans="6:11" x14ac:dyDescent="0.25">
      <c r="F141" t="s">
        <v>4</v>
      </c>
      <c r="G141" t="s">
        <v>709</v>
      </c>
      <c r="H141" t="s">
        <v>837</v>
      </c>
      <c r="J141" t="s">
        <v>1777</v>
      </c>
      <c r="K141" t="s">
        <v>1778</v>
      </c>
    </row>
    <row r="142" spans="6:11" x14ac:dyDescent="0.25">
      <c r="F142" t="s">
        <v>4</v>
      </c>
      <c r="G142" t="s">
        <v>712</v>
      </c>
      <c r="H142" t="s">
        <v>900</v>
      </c>
      <c r="J142" t="s">
        <v>1248</v>
      </c>
      <c r="K142" t="s">
        <v>1593</v>
      </c>
    </row>
    <row r="143" spans="6:11" x14ac:dyDescent="0.25">
      <c r="F143" t="s">
        <v>4</v>
      </c>
      <c r="G143" t="s">
        <v>732</v>
      </c>
      <c r="H143" t="s">
        <v>969</v>
      </c>
      <c r="J143" t="s">
        <v>1245</v>
      </c>
      <c r="K143" t="s">
        <v>1594</v>
      </c>
    </row>
    <row r="144" spans="6:11" x14ac:dyDescent="0.25">
      <c r="F144" t="s">
        <v>4</v>
      </c>
      <c r="G144" t="s">
        <v>744</v>
      </c>
      <c r="H144" t="s">
        <v>418</v>
      </c>
      <c r="J144" t="s">
        <v>1247</v>
      </c>
      <c r="K144" t="s">
        <v>1599</v>
      </c>
    </row>
    <row r="145" spans="6:11" x14ac:dyDescent="0.25">
      <c r="F145" t="s">
        <v>4</v>
      </c>
      <c r="G145" t="s">
        <v>763</v>
      </c>
      <c r="H145" t="s">
        <v>540</v>
      </c>
      <c r="J145" t="s">
        <v>1249</v>
      </c>
      <c r="K145" t="s">
        <v>1595</v>
      </c>
    </row>
    <row r="146" spans="6:11" x14ac:dyDescent="0.25">
      <c r="F146" t="s">
        <v>4</v>
      </c>
      <c r="G146" t="s">
        <v>1650</v>
      </c>
      <c r="H146" t="s">
        <v>1649</v>
      </c>
      <c r="J146" t="s">
        <v>1251</v>
      </c>
      <c r="K146" t="s">
        <v>1596</v>
      </c>
    </row>
    <row r="147" spans="6:11" x14ac:dyDescent="0.25">
      <c r="F147" t="s">
        <v>4</v>
      </c>
      <c r="G147" t="s">
        <v>803</v>
      </c>
      <c r="H147" t="s">
        <v>652</v>
      </c>
      <c r="J147" t="s">
        <v>1252</v>
      </c>
      <c r="K147" t="s">
        <v>1600</v>
      </c>
    </row>
    <row r="148" spans="6:11" x14ac:dyDescent="0.25">
      <c r="F148" t="s">
        <v>4</v>
      </c>
      <c r="G148" t="s">
        <v>805</v>
      </c>
      <c r="H148" t="s">
        <v>713</v>
      </c>
      <c r="J148" t="s">
        <v>1254</v>
      </c>
      <c r="K148" t="s">
        <v>1597</v>
      </c>
    </row>
    <row r="149" spans="6:11" x14ac:dyDescent="0.25">
      <c r="F149" t="s">
        <v>4</v>
      </c>
      <c r="G149" t="s">
        <v>1652</v>
      </c>
      <c r="H149" t="s">
        <v>1651</v>
      </c>
      <c r="J149" t="s">
        <v>1255</v>
      </c>
      <c r="K149" t="s">
        <v>1598</v>
      </c>
    </row>
    <row r="150" spans="6:11" x14ac:dyDescent="0.25">
      <c r="F150" t="s">
        <v>4</v>
      </c>
      <c r="G150" t="s">
        <v>836</v>
      </c>
      <c r="H150" t="s">
        <v>1098</v>
      </c>
      <c r="J150" t="s">
        <v>1250</v>
      </c>
      <c r="K150" t="s">
        <v>1412</v>
      </c>
    </row>
    <row r="151" spans="6:11" x14ac:dyDescent="0.25">
      <c r="F151" t="s">
        <v>4</v>
      </c>
      <c r="G151" t="s">
        <v>899</v>
      </c>
      <c r="H151" t="s">
        <v>10</v>
      </c>
      <c r="J151" t="s">
        <v>1256</v>
      </c>
      <c r="K151" t="s">
        <v>1413</v>
      </c>
    </row>
    <row r="152" spans="6:11" x14ac:dyDescent="0.25">
      <c r="F152" t="s">
        <v>4</v>
      </c>
      <c r="G152" t="s">
        <v>931</v>
      </c>
      <c r="H152" t="s">
        <v>12</v>
      </c>
      <c r="J152" t="s">
        <v>1257</v>
      </c>
      <c r="K152" t="s">
        <v>1414</v>
      </c>
    </row>
    <row r="153" spans="6:11" x14ac:dyDescent="0.25">
      <c r="F153" t="s">
        <v>4</v>
      </c>
      <c r="G153" t="s">
        <v>945</v>
      </c>
      <c r="H153" t="s">
        <v>56</v>
      </c>
      <c r="J153" t="s">
        <v>1258</v>
      </c>
      <c r="K153" t="s">
        <v>1602</v>
      </c>
    </row>
    <row r="154" spans="6:11" x14ac:dyDescent="0.25">
      <c r="F154" t="s">
        <v>4</v>
      </c>
      <c r="G154" t="s">
        <v>957</v>
      </c>
      <c r="H154" t="s">
        <v>295</v>
      </c>
      <c r="J154" t="s">
        <v>1259</v>
      </c>
      <c r="K154" t="s">
        <v>1259</v>
      </c>
    </row>
    <row r="155" spans="6:11" x14ac:dyDescent="0.25">
      <c r="F155" t="s">
        <v>4</v>
      </c>
      <c r="G155" t="s">
        <v>968</v>
      </c>
      <c r="H155" t="s">
        <v>804</v>
      </c>
      <c r="J155" t="s">
        <v>1260</v>
      </c>
      <c r="K155" t="s">
        <v>1603</v>
      </c>
    </row>
    <row r="156" spans="6:11" x14ac:dyDescent="0.25">
      <c r="F156" t="s">
        <v>4</v>
      </c>
      <c r="G156" t="s">
        <v>996</v>
      </c>
      <c r="H156" t="s">
        <v>733</v>
      </c>
      <c r="J156" t="s">
        <v>1261</v>
      </c>
      <c r="K156" t="s">
        <v>1604</v>
      </c>
    </row>
    <row r="157" spans="6:11" x14ac:dyDescent="0.25">
      <c r="F157" t="s">
        <v>4</v>
      </c>
      <c r="G157" t="s">
        <v>1003</v>
      </c>
      <c r="H157" t="s">
        <v>806</v>
      </c>
      <c r="J157" t="s">
        <v>1262</v>
      </c>
      <c r="K157" t="s">
        <v>1415</v>
      </c>
    </row>
    <row r="158" spans="6:11" x14ac:dyDescent="0.25">
      <c r="F158" t="s">
        <v>4</v>
      </c>
      <c r="G158" t="s">
        <v>1004</v>
      </c>
      <c r="H158" t="s">
        <v>1016</v>
      </c>
      <c r="J158" t="s">
        <v>1263</v>
      </c>
      <c r="K158" t="s">
        <v>1416</v>
      </c>
    </row>
    <row r="159" spans="6:11" x14ac:dyDescent="0.25">
      <c r="F159" t="s">
        <v>4</v>
      </c>
      <c r="G159" t="s">
        <v>1006</v>
      </c>
      <c r="H159" t="s">
        <v>8</v>
      </c>
      <c r="J159" t="s">
        <v>1264</v>
      </c>
      <c r="K159" t="s">
        <v>1605</v>
      </c>
    </row>
    <row r="160" spans="6:11" x14ac:dyDescent="0.25">
      <c r="F160" t="s">
        <v>4</v>
      </c>
      <c r="G160" t="s">
        <v>1015</v>
      </c>
      <c r="H160" t="s">
        <v>932</v>
      </c>
      <c r="J160" t="s">
        <v>1265</v>
      </c>
      <c r="K160" t="s">
        <v>1606</v>
      </c>
    </row>
    <row r="161" spans="6:11" x14ac:dyDescent="0.25">
      <c r="F161" t="s">
        <v>4</v>
      </c>
      <c r="G161" t="s">
        <v>1017</v>
      </c>
      <c r="H161" t="s">
        <v>997</v>
      </c>
      <c r="J161" t="s">
        <v>1266</v>
      </c>
      <c r="K161" t="s">
        <v>1607</v>
      </c>
    </row>
    <row r="162" spans="6:11" x14ac:dyDescent="0.25">
      <c r="F162" t="s">
        <v>4</v>
      </c>
      <c r="G162" t="s">
        <v>1019</v>
      </c>
      <c r="H162" t="s">
        <v>1005</v>
      </c>
      <c r="J162" t="s">
        <v>1267</v>
      </c>
      <c r="K162" t="s">
        <v>1608</v>
      </c>
    </row>
    <row r="163" spans="6:11" x14ac:dyDescent="0.25">
      <c r="F163" t="s">
        <v>4</v>
      </c>
      <c r="G163" t="s">
        <v>1037</v>
      </c>
      <c r="H163" t="s">
        <v>1007</v>
      </c>
      <c r="J163" t="s">
        <v>1268</v>
      </c>
      <c r="K163" t="s">
        <v>1268</v>
      </c>
    </row>
    <row r="164" spans="6:11" x14ac:dyDescent="0.25">
      <c r="F164" t="s">
        <v>4</v>
      </c>
      <c r="G164" t="s">
        <v>1070</v>
      </c>
      <c r="H164" t="s">
        <v>1102</v>
      </c>
      <c r="J164" t="s">
        <v>1269</v>
      </c>
      <c r="K164" t="s">
        <v>1609</v>
      </c>
    </row>
    <row r="165" spans="6:11" x14ac:dyDescent="0.25">
      <c r="F165" t="s">
        <v>4</v>
      </c>
      <c r="G165" t="s">
        <v>1097</v>
      </c>
      <c r="H165" t="s">
        <v>388</v>
      </c>
      <c r="J165" t="s">
        <v>1271</v>
      </c>
      <c r="K165" t="s">
        <v>1417</v>
      </c>
    </row>
    <row r="166" spans="6:11" x14ac:dyDescent="0.25">
      <c r="F166" t="s">
        <v>4</v>
      </c>
      <c r="G166" t="s">
        <v>1101</v>
      </c>
      <c r="H166" t="s">
        <v>1653</v>
      </c>
      <c r="J166" t="s">
        <v>1272</v>
      </c>
      <c r="K166" t="s">
        <v>1613</v>
      </c>
    </row>
    <row r="167" spans="6:11" x14ac:dyDescent="0.25">
      <c r="F167" t="s">
        <v>1</v>
      </c>
      <c r="G167" t="s">
        <v>1655</v>
      </c>
      <c r="H167" t="s">
        <v>1654</v>
      </c>
      <c r="J167" t="s">
        <v>1273</v>
      </c>
      <c r="K167" t="s">
        <v>1614</v>
      </c>
    </row>
    <row r="168" spans="6:11" x14ac:dyDescent="0.25">
      <c r="F168" t="s">
        <v>1</v>
      </c>
      <c r="G168" t="s">
        <v>1656</v>
      </c>
      <c r="H168" t="s">
        <v>597</v>
      </c>
      <c r="J168" t="s">
        <v>1270</v>
      </c>
      <c r="K168" t="s">
        <v>1270</v>
      </c>
    </row>
    <row r="169" spans="6:11" x14ac:dyDescent="0.25">
      <c r="F169" t="s">
        <v>1</v>
      </c>
      <c r="G169" t="s">
        <v>1658</v>
      </c>
      <c r="H169" t="s">
        <v>1657</v>
      </c>
      <c r="J169" t="s">
        <v>1274</v>
      </c>
      <c r="K169" t="s">
        <v>1615</v>
      </c>
    </row>
    <row r="170" spans="6:11" x14ac:dyDescent="0.25">
      <c r="F170" t="s">
        <v>1</v>
      </c>
      <c r="G170" t="s">
        <v>1660</v>
      </c>
      <c r="H170" t="s">
        <v>1659</v>
      </c>
      <c r="J170" t="s">
        <v>1275</v>
      </c>
      <c r="K170" t="s">
        <v>1616</v>
      </c>
    </row>
    <row r="171" spans="6:11" x14ac:dyDescent="0.25">
      <c r="F171" t="s">
        <v>1</v>
      </c>
      <c r="G171" t="s">
        <v>1662</v>
      </c>
      <c r="H171" t="s">
        <v>1661</v>
      </c>
      <c r="J171" t="s">
        <v>1276</v>
      </c>
      <c r="K171" t="s">
        <v>1617</v>
      </c>
    </row>
    <row r="172" spans="6:11" x14ac:dyDescent="0.25">
      <c r="F172" t="s">
        <v>1</v>
      </c>
      <c r="G172" t="s">
        <v>1664</v>
      </c>
      <c r="H172" t="s">
        <v>1663</v>
      </c>
      <c r="J172" t="s">
        <v>1601</v>
      </c>
      <c r="K172" t="s">
        <v>1253</v>
      </c>
    </row>
    <row r="173" spans="6:11" x14ac:dyDescent="0.25">
      <c r="F173" t="s">
        <v>1</v>
      </c>
      <c r="G173" t="s">
        <v>1666</v>
      </c>
      <c r="H173" t="s">
        <v>1665</v>
      </c>
      <c r="J173" t="s">
        <v>1278</v>
      </c>
      <c r="K173" t="s">
        <v>1618</v>
      </c>
    </row>
    <row r="174" spans="6:11" x14ac:dyDescent="0.25">
      <c r="F174" t="s">
        <v>1</v>
      </c>
      <c r="G174" t="s">
        <v>596</v>
      </c>
      <c r="H174" t="s">
        <v>1667</v>
      </c>
      <c r="J174" t="s">
        <v>1280</v>
      </c>
      <c r="K174" t="s">
        <v>1611</v>
      </c>
    </row>
    <row r="175" spans="6:11" x14ac:dyDescent="0.25">
      <c r="F175" t="s">
        <v>1</v>
      </c>
      <c r="G175" t="s">
        <v>1669</v>
      </c>
      <c r="H175" t="s">
        <v>1668</v>
      </c>
      <c r="J175" t="s">
        <v>1281</v>
      </c>
      <c r="K175" t="s">
        <v>1619</v>
      </c>
    </row>
    <row r="176" spans="6:11" x14ac:dyDescent="0.25">
      <c r="F176" t="s">
        <v>1</v>
      </c>
      <c r="G176" t="s">
        <v>1671</v>
      </c>
      <c r="H176" t="s">
        <v>1670</v>
      </c>
      <c r="J176" t="s">
        <v>1282</v>
      </c>
      <c r="K176" t="s">
        <v>1620</v>
      </c>
    </row>
    <row r="177" spans="6:11" x14ac:dyDescent="0.25">
      <c r="F177" t="s">
        <v>1</v>
      </c>
      <c r="G177" t="s">
        <v>1865</v>
      </c>
      <c r="H177" t="s">
        <v>1672</v>
      </c>
      <c r="J177" t="s">
        <v>1283</v>
      </c>
      <c r="K177" t="s">
        <v>1621</v>
      </c>
    </row>
    <row r="178" spans="6:11" x14ac:dyDescent="0.25">
      <c r="F178" t="s">
        <v>1632</v>
      </c>
      <c r="G178" t="s">
        <v>67</v>
      </c>
      <c r="H178" t="s">
        <v>346</v>
      </c>
      <c r="J178" t="s">
        <v>1279</v>
      </c>
      <c r="K178" t="s">
        <v>1279</v>
      </c>
    </row>
    <row r="179" spans="6:11" x14ac:dyDescent="0.25">
      <c r="F179" t="s">
        <v>1632</v>
      </c>
      <c r="G179" t="s">
        <v>71</v>
      </c>
      <c r="H179" t="s">
        <v>181</v>
      </c>
      <c r="J179" t="s">
        <v>1284</v>
      </c>
      <c r="K179" t="s">
        <v>1610</v>
      </c>
    </row>
    <row r="180" spans="6:11" x14ac:dyDescent="0.25">
      <c r="F180" t="s">
        <v>1632</v>
      </c>
      <c r="G180" t="s">
        <v>72</v>
      </c>
      <c r="H180" t="s">
        <v>309</v>
      </c>
      <c r="J180" t="s">
        <v>1285</v>
      </c>
      <c r="K180" t="s">
        <v>1285</v>
      </c>
    </row>
    <row r="181" spans="6:11" x14ac:dyDescent="0.25">
      <c r="F181" t="s">
        <v>1632</v>
      </c>
      <c r="G181" t="s">
        <v>77</v>
      </c>
      <c r="H181" t="s">
        <v>412</v>
      </c>
      <c r="J181" t="s">
        <v>1286</v>
      </c>
      <c r="K181" t="s">
        <v>1612</v>
      </c>
    </row>
    <row r="182" spans="6:11" x14ac:dyDescent="0.25">
      <c r="F182" t="s">
        <v>1632</v>
      </c>
      <c r="G182" t="s">
        <v>79</v>
      </c>
      <c r="H182" t="s">
        <v>1673</v>
      </c>
      <c r="J182" t="s">
        <v>1288</v>
      </c>
      <c r="K182" t="s">
        <v>1622</v>
      </c>
    </row>
    <row r="183" spans="6:11" x14ac:dyDescent="0.25">
      <c r="F183" t="s">
        <v>1632</v>
      </c>
      <c r="G183" t="s">
        <v>100</v>
      </c>
      <c r="H183" t="s">
        <v>665</v>
      </c>
      <c r="J183" t="s">
        <v>1290</v>
      </c>
      <c r="K183" t="s">
        <v>1290</v>
      </c>
    </row>
    <row r="184" spans="6:11" x14ac:dyDescent="0.25">
      <c r="F184" t="s">
        <v>1632</v>
      </c>
      <c r="G184" t="s">
        <v>138</v>
      </c>
      <c r="H184" t="s">
        <v>692</v>
      </c>
      <c r="J184" t="s">
        <v>1291</v>
      </c>
      <c r="K184" t="s">
        <v>1623</v>
      </c>
    </row>
    <row r="185" spans="6:11" x14ac:dyDescent="0.25">
      <c r="F185" t="s">
        <v>1632</v>
      </c>
      <c r="G185" t="s">
        <v>164</v>
      </c>
      <c r="H185" t="s">
        <v>752</v>
      </c>
      <c r="J185" t="s">
        <v>1292</v>
      </c>
      <c r="K185" t="s">
        <v>1624</v>
      </c>
    </row>
    <row r="186" spans="6:11" x14ac:dyDescent="0.25">
      <c r="F186" t="s">
        <v>1632</v>
      </c>
      <c r="G186" t="s">
        <v>180</v>
      </c>
      <c r="H186" t="s">
        <v>917</v>
      </c>
      <c r="J186" t="s">
        <v>1293</v>
      </c>
      <c r="K186" t="s">
        <v>1585</v>
      </c>
    </row>
    <row r="187" spans="6:11" x14ac:dyDescent="0.25">
      <c r="F187" t="s">
        <v>1632</v>
      </c>
      <c r="G187" t="s">
        <v>186</v>
      </c>
      <c r="H187" t="s">
        <v>187</v>
      </c>
      <c r="J187" t="s">
        <v>1287</v>
      </c>
      <c r="K187" t="s">
        <v>1581</v>
      </c>
    </row>
    <row r="188" spans="6:11" x14ac:dyDescent="0.25">
      <c r="F188" t="s">
        <v>1632</v>
      </c>
      <c r="G188" t="s">
        <v>192</v>
      </c>
      <c r="H188" t="s">
        <v>620</v>
      </c>
      <c r="J188" t="s">
        <v>1289</v>
      </c>
      <c r="K188" t="s">
        <v>1582</v>
      </c>
    </row>
    <row r="189" spans="6:11" x14ac:dyDescent="0.25">
      <c r="F189" t="s">
        <v>1632</v>
      </c>
      <c r="G189" t="s">
        <v>209</v>
      </c>
      <c r="H189" t="s">
        <v>532</v>
      </c>
      <c r="J189" t="s">
        <v>1294</v>
      </c>
      <c r="K189" t="s">
        <v>1583</v>
      </c>
    </row>
    <row r="190" spans="6:11" x14ac:dyDescent="0.25">
      <c r="F190" t="s">
        <v>1632</v>
      </c>
      <c r="G190" t="s">
        <v>215</v>
      </c>
      <c r="H190" t="s">
        <v>547</v>
      </c>
      <c r="J190" t="s">
        <v>1295</v>
      </c>
      <c r="K190" t="s">
        <v>1584</v>
      </c>
    </row>
    <row r="191" spans="6:11" x14ac:dyDescent="0.25">
      <c r="F191" t="s">
        <v>1632</v>
      </c>
      <c r="G191" t="s">
        <v>245</v>
      </c>
      <c r="H191" t="s">
        <v>663</v>
      </c>
      <c r="J191" t="s">
        <v>1296</v>
      </c>
      <c r="K191" t="s">
        <v>1419</v>
      </c>
    </row>
    <row r="192" spans="6:11" x14ac:dyDescent="0.25">
      <c r="F192" t="s">
        <v>1632</v>
      </c>
      <c r="G192" t="s">
        <v>258</v>
      </c>
      <c r="H192" t="s">
        <v>737</v>
      </c>
      <c r="J192" t="s">
        <v>1297</v>
      </c>
      <c r="K192" t="s">
        <v>1420</v>
      </c>
    </row>
    <row r="193" spans="6:11" x14ac:dyDescent="0.25">
      <c r="F193" t="s">
        <v>1632</v>
      </c>
      <c r="G193" t="s">
        <v>261</v>
      </c>
      <c r="H193" t="s">
        <v>832</v>
      </c>
      <c r="J193" t="s">
        <v>1580</v>
      </c>
      <c r="K193" t="s">
        <v>1579</v>
      </c>
    </row>
    <row r="194" spans="6:11" x14ac:dyDescent="0.25">
      <c r="F194" t="s">
        <v>1632</v>
      </c>
      <c r="G194" t="s">
        <v>270</v>
      </c>
      <c r="H194" t="s">
        <v>915</v>
      </c>
      <c r="J194" t="s">
        <v>1299</v>
      </c>
      <c r="K194" t="s">
        <v>1578</v>
      </c>
    </row>
    <row r="195" spans="6:11" x14ac:dyDescent="0.25">
      <c r="F195" t="s">
        <v>1632</v>
      </c>
      <c r="G195" t="s">
        <v>1901</v>
      </c>
      <c r="H195" t="s">
        <v>1674</v>
      </c>
      <c r="J195" t="s">
        <v>1301</v>
      </c>
      <c r="K195" t="s">
        <v>1301</v>
      </c>
    </row>
    <row r="196" spans="6:11" x14ac:dyDescent="0.25">
      <c r="F196" t="s">
        <v>1632</v>
      </c>
      <c r="G196" t="s">
        <v>292</v>
      </c>
      <c r="H196" t="s">
        <v>579</v>
      </c>
      <c r="J196" t="s">
        <v>1302</v>
      </c>
      <c r="K196" t="s">
        <v>1421</v>
      </c>
    </row>
    <row r="197" spans="6:11" x14ac:dyDescent="0.25">
      <c r="F197" t="s">
        <v>1632</v>
      </c>
      <c r="G197" t="s">
        <v>300</v>
      </c>
      <c r="H197" t="s">
        <v>1675</v>
      </c>
      <c r="J197" t="s">
        <v>1303</v>
      </c>
      <c r="K197" t="s">
        <v>1577</v>
      </c>
    </row>
    <row r="198" spans="6:11" x14ac:dyDescent="0.25">
      <c r="F198" t="s">
        <v>1632</v>
      </c>
      <c r="G198" t="s">
        <v>304</v>
      </c>
      <c r="H198" t="s">
        <v>963</v>
      </c>
      <c r="J198" t="s">
        <v>1277</v>
      </c>
      <c r="K198" t="s">
        <v>1418</v>
      </c>
    </row>
    <row r="199" spans="6:11" x14ac:dyDescent="0.25">
      <c r="F199" t="s">
        <v>1632</v>
      </c>
      <c r="G199" t="s">
        <v>308</v>
      </c>
      <c r="H199" t="s">
        <v>139</v>
      </c>
      <c r="J199" t="s">
        <v>1298</v>
      </c>
      <c r="K199" t="s">
        <v>1422</v>
      </c>
    </row>
    <row r="200" spans="6:11" x14ac:dyDescent="0.25">
      <c r="F200" t="s">
        <v>1632</v>
      </c>
      <c r="G200" t="s">
        <v>318</v>
      </c>
      <c r="H200" t="s">
        <v>78</v>
      </c>
      <c r="J200" t="s">
        <v>1300</v>
      </c>
      <c r="K200" t="s">
        <v>1300</v>
      </c>
    </row>
    <row r="201" spans="6:11" x14ac:dyDescent="0.25">
      <c r="F201" t="s">
        <v>1632</v>
      </c>
      <c r="G201" t="s">
        <v>1676</v>
      </c>
      <c r="H201" t="s">
        <v>193</v>
      </c>
      <c r="J201" t="s">
        <v>1304</v>
      </c>
      <c r="K201" t="s">
        <v>1576</v>
      </c>
    </row>
    <row r="202" spans="6:11" x14ac:dyDescent="0.25">
      <c r="F202" t="s">
        <v>1632</v>
      </c>
      <c r="G202" t="s">
        <v>333</v>
      </c>
      <c r="H202" t="s">
        <v>383</v>
      </c>
      <c r="J202" t="s">
        <v>1305</v>
      </c>
      <c r="K202" t="s">
        <v>1537</v>
      </c>
    </row>
    <row r="203" spans="6:11" x14ac:dyDescent="0.25">
      <c r="F203" t="s">
        <v>1632</v>
      </c>
      <c r="G203" t="s">
        <v>345</v>
      </c>
      <c r="H203" t="s">
        <v>402</v>
      </c>
      <c r="J203" t="s">
        <v>1306</v>
      </c>
      <c r="K203" t="s">
        <v>1536</v>
      </c>
    </row>
    <row r="204" spans="6:11" x14ac:dyDescent="0.25">
      <c r="F204" t="s">
        <v>1632</v>
      </c>
      <c r="G204" t="s">
        <v>357</v>
      </c>
      <c r="H204" t="s">
        <v>561</v>
      </c>
      <c r="J204" t="s">
        <v>1307</v>
      </c>
      <c r="K204" t="s">
        <v>1535</v>
      </c>
    </row>
    <row r="205" spans="6:11" x14ac:dyDescent="0.25">
      <c r="F205" t="s">
        <v>1632</v>
      </c>
      <c r="G205" t="s">
        <v>382</v>
      </c>
      <c r="H205" t="s">
        <v>680</v>
      </c>
      <c r="J205" t="s">
        <v>1308</v>
      </c>
      <c r="K205" t="s">
        <v>1534</v>
      </c>
    </row>
    <row r="206" spans="6:11" x14ac:dyDescent="0.25">
      <c r="F206" t="s">
        <v>1632</v>
      </c>
      <c r="G206" t="s">
        <v>401</v>
      </c>
      <c r="H206" t="s">
        <v>685</v>
      </c>
      <c r="J206" t="s">
        <v>1309</v>
      </c>
      <c r="K206" t="s">
        <v>1533</v>
      </c>
    </row>
    <row r="207" spans="6:11" x14ac:dyDescent="0.25">
      <c r="F207" t="s">
        <v>1632</v>
      </c>
      <c r="G207" t="s">
        <v>411</v>
      </c>
      <c r="H207" t="s">
        <v>951</v>
      </c>
      <c r="J207" t="s">
        <v>1310</v>
      </c>
      <c r="K207" t="s">
        <v>1532</v>
      </c>
    </row>
    <row r="208" spans="6:11" x14ac:dyDescent="0.25">
      <c r="F208" t="s">
        <v>1632</v>
      </c>
      <c r="G208" t="s">
        <v>463</v>
      </c>
      <c r="H208" t="s">
        <v>279</v>
      </c>
      <c r="J208" t="s">
        <v>1311</v>
      </c>
      <c r="K208" t="s">
        <v>1311</v>
      </c>
    </row>
    <row r="209" spans="6:11" x14ac:dyDescent="0.25">
      <c r="F209" t="s">
        <v>1632</v>
      </c>
      <c r="G209" t="s">
        <v>497</v>
      </c>
      <c r="H209" t="s">
        <v>565</v>
      </c>
      <c r="J209" t="s">
        <v>1779</v>
      </c>
      <c r="K209" t="s">
        <v>1780</v>
      </c>
    </row>
    <row r="210" spans="6:11" x14ac:dyDescent="0.25">
      <c r="F210" t="s">
        <v>1632</v>
      </c>
      <c r="G210" t="s">
        <v>512</v>
      </c>
      <c r="H210" t="s">
        <v>280</v>
      </c>
      <c r="J210" t="s">
        <v>1312</v>
      </c>
      <c r="K210" t="s">
        <v>1531</v>
      </c>
    </row>
    <row r="211" spans="6:11" x14ac:dyDescent="0.25">
      <c r="F211" t="s">
        <v>1632</v>
      </c>
      <c r="G211" t="s">
        <v>531</v>
      </c>
      <c r="H211" t="s">
        <v>550</v>
      </c>
      <c r="J211" t="s">
        <v>1313</v>
      </c>
      <c r="K211" t="s">
        <v>1530</v>
      </c>
    </row>
    <row r="212" spans="6:11" x14ac:dyDescent="0.25">
      <c r="F212" t="s">
        <v>1632</v>
      </c>
      <c r="G212" t="s">
        <v>538</v>
      </c>
      <c r="H212" t="s">
        <v>734</v>
      </c>
      <c r="J212" t="s">
        <v>1314</v>
      </c>
      <c r="K212" t="s">
        <v>1529</v>
      </c>
    </row>
    <row r="213" spans="6:11" x14ac:dyDescent="0.25">
      <c r="F213" t="s">
        <v>1632</v>
      </c>
      <c r="G213" t="s">
        <v>546</v>
      </c>
      <c r="H213" t="s">
        <v>810</v>
      </c>
      <c r="J213" t="s">
        <v>1315</v>
      </c>
      <c r="K213" t="s">
        <v>1528</v>
      </c>
    </row>
    <row r="214" spans="6:11" x14ac:dyDescent="0.25">
      <c r="F214" t="s">
        <v>1632</v>
      </c>
      <c r="G214" t="s">
        <v>560</v>
      </c>
      <c r="H214" t="s">
        <v>830</v>
      </c>
      <c r="J214" t="s">
        <v>1316</v>
      </c>
      <c r="K214" t="s">
        <v>1316</v>
      </c>
    </row>
    <row r="215" spans="6:11" x14ac:dyDescent="0.25">
      <c r="F215" t="s">
        <v>1632</v>
      </c>
      <c r="G215" t="s">
        <v>573</v>
      </c>
      <c r="H215" t="s">
        <v>956</v>
      </c>
      <c r="J215" t="s">
        <v>1526</v>
      </c>
      <c r="K215" t="s">
        <v>1527</v>
      </c>
    </row>
    <row r="216" spans="6:11" x14ac:dyDescent="0.25">
      <c r="F216" t="s">
        <v>1632</v>
      </c>
      <c r="G216" t="s">
        <v>578</v>
      </c>
      <c r="H216" t="s">
        <v>739</v>
      </c>
      <c r="J216" t="s">
        <v>1319</v>
      </c>
      <c r="K216" t="s">
        <v>1319</v>
      </c>
    </row>
    <row r="217" spans="6:11" x14ac:dyDescent="0.25">
      <c r="F217" t="s">
        <v>1632</v>
      </c>
      <c r="G217" t="s">
        <v>602</v>
      </c>
      <c r="H217" t="s">
        <v>271</v>
      </c>
      <c r="J217" t="s">
        <v>1321</v>
      </c>
      <c r="K217" t="s">
        <v>1524</v>
      </c>
    </row>
    <row r="218" spans="6:11" x14ac:dyDescent="0.25">
      <c r="F218" t="s">
        <v>1632</v>
      </c>
      <c r="G218" t="s">
        <v>604</v>
      </c>
      <c r="H218" t="s">
        <v>210</v>
      </c>
      <c r="J218" t="s">
        <v>1322</v>
      </c>
      <c r="K218" t="s">
        <v>1322</v>
      </c>
    </row>
    <row r="219" spans="6:11" x14ac:dyDescent="0.25">
      <c r="F219" t="s">
        <v>1632</v>
      </c>
      <c r="G219" t="s">
        <v>619</v>
      </c>
      <c r="H219" t="s">
        <v>334</v>
      </c>
      <c r="J219" t="s">
        <v>1324</v>
      </c>
      <c r="K219" t="s">
        <v>1323</v>
      </c>
    </row>
    <row r="220" spans="6:11" x14ac:dyDescent="0.25">
      <c r="F220" t="s">
        <v>1632</v>
      </c>
      <c r="G220" t="s">
        <v>623</v>
      </c>
      <c r="H220" t="s">
        <v>888</v>
      </c>
      <c r="J220" t="s">
        <v>1325</v>
      </c>
      <c r="K220" t="s">
        <v>1423</v>
      </c>
    </row>
    <row r="221" spans="6:11" x14ac:dyDescent="0.25">
      <c r="F221" t="s">
        <v>1632</v>
      </c>
      <c r="G221" t="s">
        <v>662</v>
      </c>
      <c r="H221" t="s">
        <v>893</v>
      </c>
      <c r="J221" t="s">
        <v>1326</v>
      </c>
      <c r="K221" t="s">
        <v>1330</v>
      </c>
    </row>
    <row r="222" spans="6:11" x14ac:dyDescent="0.25">
      <c r="F222" t="s">
        <v>1632</v>
      </c>
      <c r="G222" t="s">
        <v>664</v>
      </c>
      <c r="H222" t="s">
        <v>68</v>
      </c>
      <c r="J222" t="s">
        <v>1327</v>
      </c>
      <c r="K222" t="s">
        <v>1424</v>
      </c>
    </row>
    <row r="223" spans="6:11" x14ac:dyDescent="0.25">
      <c r="F223" t="s">
        <v>1632</v>
      </c>
      <c r="G223" t="s">
        <v>677</v>
      </c>
      <c r="H223" t="s">
        <v>259</v>
      </c>
      <c r="J223" t="s">
        <v>1328</v>
      </c>
      <c r="K223" t="s">
        <v>1328</v>
      </c>
    </row>
    <row r="224" spans="6:11" x14ac:dyDescent="0.25">
      <c r="F224" t="s">
        <v>1632</v>
      </c>
      <c r="G224" t="s">
        <v>679</v>
      </c>
      <c r="H224" t="s">
        <v>262</v>
      </c>
      <c r="J224" t="s">
        <v>1329</v>
      </c>
      <c r="K224" t="s">
        <v>1514</v>
      </c>
    </row>
    <row r="225" spans="6:11" x14ac:dyDescent="0.25">
      <c r="F225" t="s">
        <v>1632</v>
      </c>
      <c r="G225" t="s">
        <v>684</v>
      </c>
      <c r="H225" t="s">
        <v>305</v>
      </c>
      <c r="J225" t="s">
        <v>1317</v>
      </c>
      <c r="K225" t="s">
        <v>1425</v>
      </c>
    </row>
    <row r="226" spans="6:11" x14ac:dyDescent="0.25">
      <c r="F226" t="s">
        <v>1632</v>
      </c>
      <c r="G226" t="s">
        <v>688</v>
      </c>
      <c r="H226" t="s">
        <v>754</v>
      </c>
      <c r="J226" t="s">
        <v>1519</v>
      </c>
      <c r="K226" t="s">
        <v>1515</v>
      </c>
    </row>
    <row r="227" spans="6:11" x14ac:dyDescent="0.25">
      <c r="F227" t="s">
        <v>1632</v>
      </c>
      <c r="G227" t="s">
        <v>691</v>
      </c>
      <c r="H227" t="s">
        <v>771</v>
      </c>
      <c r="J227" t="s">
        <v>1320</v>
      </c>
      <c r="K227" t="s">
        <v>1320</v>
      </c>
    </row>
    <row r="228" spans="6:11" x14ac:dyDescent="0.25">
      <c r="F228" t="s">
        <v>1632</v>
      </c>
      <c r="G228" t="s">
        <v>717</v>
      </c>
      <c r="H228" t="s">
        <v>1092</v>
      </c>
      <c r="J228" t="s">
        <v>1318</v>
      </c>
      <c r="K228" t="s">
        <v>1525</v>
      </c>
    </row>
    <row r="229" spans="6:11" x14ac:dyDescent="0.25">
      <c r="F229" t="s">
        <v>1632</v>
      </c>
      <c r="G229" t="s">
        <v>738</v>
      </c>
      <c r="H229" t="s">
        <v>358</v>
      </c>
      <c r="J229" t="s">
        <v>1332</v>
      </c>
      <c r="K229" t="s">
        <v>1520</v>
      </c>
    </row>
    <row r="230" spans="6:11" x14ac:dyDescent="0.25">
      <c r="F230" t="s">
        <v>1632</v>
      </c>
      <c r="G230" t="s">
        <v>751</v>
      </c>
      <c r="H230" t="s">
        <v>776</v>
      </c>
      <c r="J230" t="s">
        <v>1333</v>
      </c>
      <c r="K230" t="s">
        <v>1521</v>
      </c>
    </row>
    <row r="231" spans="6:11" x14ac:dyDescent="0.25">
      <c r="F231" t="s">
        <v>1632</v>
      </c>
      <c r="G231" t="s">
        <v>753</v>
      </c>
      <c r="H231" t="s">
        <v>624</v>
      </c>
      <c r="J231" t="s">
        <v>1334</v>
      </c>
      <c r="K231" t="s">
        <v>1516</v>
      </c>
    </row>
    <row r="232" spans="6:11" x14ac:dyDescent="0.25">
      <c r="F232" t="s">
        <v>1632</v>
      </c>
      <c r="G232" t="s">
        <v>770</v>
      </c>
      <c r="H232" t="s">
        <v>513</v>
      </c>
      <c r="J232" t="s">
        <v>1335</v>
      </c>
      <c r="K232" t="s">
        <v>1517</v>
      </c>
    </row>
    <row r="233" spans="6:11" x14ac:dyDescent="0.25">
      <c r="F233" t="s">
        <v>1632</v>
      </c>
      <c r="G233" t="s">
        <v>775</v>
      </c>
      <c r="H233" t="s">
        <v>877</v>
      </c>
      <c r="J233" t="s">
        <v>1336</v>
      </c>
      <c r="K233" t="s">
        <v>1518</v>
      </c>
    </row>
    <row r="234" spans="6:11" x14ac:dyDescent="0.25">
      <c r="F234" t="s">
        <v>1632</v>
      </c>
      <c r="G234" t="s">
        <v>799</v>
      </c>
      <c r="H234" t="s">
        <v>1677</v>
      </c>
      <c r="J234" t="s">
        <v>1331</v>
      </c>
      <c r="K234" t="s">
        <v>1788</v>
      </c>
    </row>
    <row r="235" spans="6:11" x14ac:dyDescent="0.25">
      <c r="F235" t="s">
        <v>1632</v>
      </c>
      <c r="G235" t="s">
        <v>1679</v>
      </c>
      <c r="H235" t="s">
        <v>1678</v>
      </c>
      <c r="J235" t="s">
        <v>1523</v>
      </c>
      <c r="K235" t="s">
        <v>1522</v>
      </c>
    </row>
    <row r="236" spans="6:11" x14ac:dyDescent="0.25">
      <c r="F236" t="s">
        <v>1632</v>
      </c>
      <c r="G236" t="s">
        <v>809</v>
      </c>
      <c r="H236" t="s">
        <v>32</v>
      </c>
      <c r="J236" t="s">
        <v>1338</v>
      </c>
      <c r="K236" t="s">
        <v>1338</v>
      </c>
    </row>
    <row r="237" spans="6:11" x14ac:dyDescent="0.25">
      <c r="F237" t="s">
        <v>1632</v>
      </c>
      <c r="G237" t="s">
        <v>829</v>
      </c>
      <c r="H237" t="s">
        <v>216</v>
      </c>
      <c r="J237" t="s">
        <v>1340</v>
      </c>
      <c r="K237" t="s">
        <v>1340</v>
      </c>
    </row>
    <row r="238" spans="6:11" x14ac:dyDescent="0.25">
      <c r="F238" t="s">
        <v>1632</v>
      </c>
      <c r="G238" t="s">
        <v>831</v>
      </c>
      <c r="H238" t="s">
        <v>293</v>
      </c>
      <c r="J238" t="s">
        <v>1341</v>
      </c>
      <c r="K238" t="s">
        <v>1513</v>
      </c>
    </row>
    <row r="239" spans="6:11" x14ac:dyDescent="0.25">
      <c r="F239" t="s">
        <v>1632</v>
      </c>
      <c r="G239" t="s">
        <v>872</v>
      </c>
      <c r="H239" t="s">
        <v>498</v>
      </c>
      <c r="J239" t="s">
        <v>1342</v>
      </c>
      <c r="K239" t="s">
        <v>1512</v>
      </c>
    </row>
    <row r="240" spans="6:11" x14ac:dyDescent="0.25">
      <c r="F240" t="s">
        <v>1632</v>
      </c>
      <c r="G240" t="s">
        <v>876</v>
      </c>
      <c r="H240" t="s">
        <v>678</v>
      </c>
      <c r="J240" t="s">
        <v>1343</v>
      </c>
      <c r="K240" t="s">
        <v>1426</v>
      </c>
    </row>
    <row r="241" spans="6:11" x14ac:dyDescent="0.25">
      <c r="F241" t="s">
        <v>1632</v>
      </c>
      <c r="G241" t="s">
        <v>887</v>
      </c>
      <c r="H241" t="s">
        <v>802</v>
      </c>
      <c r="J241" t="s">
        <v>1344</v>
      </c>
      <c r="K241" t="s">
        <v>1511</v>
      </c>
    </row>
    <row r="242" spans="6:11" x14ac:dyDescent="0.25">
      <c r="F242" t="s">
        <v>1632</v>
      </c>
      <c r="G242" t="s">
        <v>889</v>
      </c>
      <c r="H242" t="s">
        <v>603</v>
      </c>
      <c r="J242" t="s">
        <v>1345</v>
      </c>
      <c r="K242" t="s">
        <v>1789</v>
      </c>
    </row>
    <row r="243" spans="6:11" x14ac:dyDescent="0.25">
      <c r="F243" t="s">
        <v>1632</v>
      </c>
      <c r="G243" t="s">
        <v>1680</v>
      </c>
      <c r="H243" t="s">
        <v>165</v>
      </c>
      <c r="J243" t="s">
        <v>1337</v>
      </c>
      <c r="K243" t="s">
        <v>1510</v>
      </c>
    </row>
    <row r="244" spans="6:11" x14ac:dyDescent="0.25">
      <c r="F244" t="s">
        <v>1632</v>
      </c>
      <c r="G244" t="s">
        <v>914</v>
      </c>
      <c r="H244" t="s">
        <v>246</v>
      </c>
      <c r="J244" t="s">
        <v>1781</v>
      </c>
      <c r="K244" t="s">
        <v>1509</v>
      </c>
    </row>
    <row r="245" spans="6:11" x14ac:dyDescent="0.25">
      <c r="F245" t="s">
        <v>1632</v>
      </c>
      <c r="G245" t="s">
        <v>916</v>
      </c>
      <c r="H245" t="s">
        <v>289</v>
      </c>
      <c r="J245" t="s">
        <v>1346</v>
      </c>
      <c r="K245" t="s">
        <v>1427</v>
      </c>
    </row>
    <row r="246" spans="6:11" x14ac:dyDescent="0.25">
      <c r="F246" t="s">
        <v>1632</v>
      </c>
      <c r="G246" t="s">
        <v>920</v>
      </c>
      <c r="H246" t="s">
        <v>319</v>
      </c>
      <c r="J246" t="s">
        <v>1339</v>
      </c>
      <c r="K246" t="s">
        <v>1339</v>
      </c>
    </row>
    <row r="247" spans="6:11" x14ac:dyDescent="0.25">
      <c r="F247" t="s">
        <v>1632</v>
      </c>
      <c r="G247" t="s">
        <v>922</v>
      </c>
      <c r="H247" t="s">
        <v>452</v>
      </c>
      <c r="J247" t="s">
        <v>1348</v>
      </c>
      <c r="K247" t="s">
        <v>1507</v>
      </c>
    </row>
    <row r="248" spans="6:11" x14ac:dyDescent="0.25">
      <c r="F248" t="s">
        <v>1632</v>
      </c>
      <c r="G248" t="s">
        <v>923</v>
      </c>
      <c r="H248" t="s">
        <v>605</v>
      </c>
      <c r="J248" t="s">
        <v>1349</v>
      </c>
      <c r="K248" t="s">
        <v>1508</v>
      </c>
    </row>
    <row r="249" spans="6:11" x14ac:dyDescent="0.25">
      <c r="F249" t="s">
        <v>1632</v>
      </c>
      <c r="G249" t="s">
        <v>925</v>
      </c>
      <c r="H249" t="s">
        <v>574</v>
      </c>
      <c r="J249" t="s">
        <v>1350</v>
      </c>
      <c r="K249" t="s">
        <v>1506</v>
      </c>
    </row>
    <row r="250" spans="6:11" x14ac:dyDescent="0.25">
      <c r="F250" t="s">
        <v>1632</v>
      </c>
      <c r="G250" t="s">
        <v>950</v>
      </c>
      <c r="H250" t="s">
        <v>890</v>
      </c>
      <c r="J250" t="s">
        <v>1351</v>
      </c>
      <c r="K250" t="s">
        <v>1505</v>
      </c>
    </row>
    <row r="251" spans="6:11" x14ac:dyDescent="0.25">
      <c r="F251" t="s">
        <v>1632</v>
      </c>
      <c r="G251" t="s">
        <v>955</v>
      </c>
      <c r="H251" t="s">
        <v>921</v>
      </c>
      <c r="J251" t="s">
        <v>1352</v>
      </c>
      <c r="K251" t="s">
        <v>1428</v>
      </c>
    </row>
    <row r="252" spans="6:11" x14ac:dyDescent="0.25">
      <c r="F252" t="s">
        <v>1632</v>
      </c>
      <c r="G252" t="s">
        <v>959</v>
      </c>
      <c r="H252" t="s">
        <v>928</v>
      </c>
      <c r="J252" t="s">
        <v>1353</v>
      </c>
      <c r="K252" t="s">
        <v>1504</v>
      </c>
    </row>
    <row r="253" spans="6:11" x14ac:dyDescent="0.25">
      <c r="F253" t="s">
        <v>1632</v>
      </c>
      <c r="G253" t="s">
        <v>962</v>
      </c>
      <c r="H253" t="s">
        <v>101</v>
      </c>
      <c r="J253" t="s">
        <v>1354</v>
      </c>
      <c r="K253" t="s">
        <v>1429</v>
      </c>
    </row>
    <row r="254" spans="6:11" x14ac:dyDescent="0.25">
      <c r="F254" t="s">
        <v>1632</v>
      </c>
      <c r="G254" t="s">
        <v>972</v>
      </c>
      <c r="H254" t="s">
        <v>960</v>
      </c>
      <c r="J254" t="s">
        <v>1355</v>
      </c>
      <c r="K254" t="s">
        <v>1790</v>
      </c>
    </row>
    <row r="255" spans="6:11" x14ac:dyDescent="0.25">
      <c r="F255" t="s">
        <v>1632</v>
      </c>
      <c r="G255" t="s">
        <v>1064</v>
      </c>
      <c r="H255" t="s">
        <v>1681</v>
      </c>
      <c r="J255" t="s">
        <v>1347</v>
      </c>
      <c r="K255" t="s">
        <v>1347</v>
      </c>
    </row>
    <row r="256" spans="6:11" x14ac:dyDescent="0.25">
      <c r="F256" t="s">
        <v>1632</v>
      </c>
      <c r="G256" t="s">
        <v>1091</v>
      </c>
      <c r="H256" t="s">
        <v>1682</v>
      </c>
      <c r="J256" t="s">
        <v>1356</v>
      </c>
      <c r="K256" t="s">
        <v>1503</v>
      </c>
    </row>
    <row r="257" spans="6:11" x14ac:dyDescent="0.25">
      <c r="F257" t="s">
        <v>1632</v>
      </c>
      <c r="G257" t="s">
        <v>1096</v>
      </c>
      <c r="H257" t="s">
        <v>1683</v>
      </c>
      <c r="J257" t="s">
        <v>1357</v>
      </c>
      <c r="K257" t="s">
        <v>1502</v>
      </c>
    </row>
    <row r="258" spans="6:11" x14ac:dyDescent="0.25">
      <c r="F258" t="s">
        <v>37</v>
      </c>
      <c r="G258" t="s">
        <v>39</v>
      </c>
      <c r="H258" t="s">
        <v>131</v>
      </c>
      <c r="J258" t="s">
        <v>1782</v>
      </c>
      <c r="K258" t="s">
        <v>1430</v>
      </c>
    </row>
    <row r="259" spans="6:11" x14ac:dyDescent="0.25">
      <c r="F259" t="s">
        <v>37</v>
      </c>
      <c r="G259" t="s">
        <v>126</v>
      </c>
      <c r="H259" t="s">
        <v>307</v>
      </c>
      <c r="J259" t="s">
        <v>1359</v>
      </c>
      <c r="K259" t="s">
        <v>1431</v>
      </c>
    </row>
    <row r="260" spans="6:11" x14ac:dyDescent="0.25">
      <c r="F260" t="s">
        <v>37</v>
      </c>
      <c r="G260" t="s">
        <v>130</v>
      </c>
      <c r="H260" t="s">
        <v>653</v>
      </c>
      <c r="J260" t="s">
        <v>1360</v>
      </c>
      <c r="K260" t="s">
        <v>1501</v>
      </c>
    </row>
    <row r="261" spans="6:11" x14ac:dyDescent="0.25">
      <c r="F261" t="s">
        <v>37</v>
      </c>
      <c r="G261" t="s">
        <v>200</v>
      </c>
      <c r="H261" t="s">
        <v>758</v>
      </c>
      <c r="J261" t="s">
        <v>1362</v>
      </c>
      <c r="K261" t="s">
        <v>1500</v>
      </c>
    </row>
    <row r="262" spans="6:11" x14ac:dyDescent="0.25">
      <c r="F262" t="s">
        <v>37</v>
      </c>
      <c r="G262" t="s">
        <v>1685</v>
      </c>
      <c r="H262" t="s">
        <v>1684</v>
      </c>
      <c r="J262" t="s">
        <v>1363</v>
      </c>
      <c r="K262" t="s">
        <v>1499</v>
      </c>
    </row>
    <row r="263" spans="6:11" x14ac:dyDescent="0.25">
      <c r="F263" t="s">
        <v>37</v>
      </c>
      <c r="G263" t="s">
        <v>213</v>
      </c>
      <c r="H263" t="s">
        <v>127</v>
      </c>
      <c r="J263" t="s">
        <v>1364</v>
      </c>
      <c r="K263" t="s">
        <v>1498</v>
      </c>
    </row>
    <row r="264" spans="6:11" x14ac:dyDescent="0.25">
      <c r="F264" t="s">
        <v>37</v>
      </c>
      <c r="G264" t="s">
        <v>1687</v>
      </c>
      <c r="H264" t="s">
        <v>1686</v>
      </c>
      <c r="J264" t="s">
        <v>1365</v>
      </c>
      <c r="K264" t="s">
        <v>1497</v>
      </c>
    </row>
    <row r="265" spans="6:11" x14ac:dyDescent="0.25">
      <c r="F265" t="s">
        <v>37</v>
      </c>
      <c r="G265" t="s">
        <v>247</v>
      </c>
      <c r="H265" t="s">
        <v>457</v>
      </c>
      <c r="J265" t="s">
        <v>1366</v>
      </c>
      <c r="K265" t="s">
        <v>1432</v>
      </c>
    </row>
    <row r="266" spans="6:11" x14ac:dyDescent="0.25">
      <c r="F266" t="s">
        <v>37</v>
      </c>
      <c r="G266" t="s">
        <v>268</v>
      </c>
      <c r="H266" t="s">
        <v>719</v>
      </c>
      <c r="J266" t="s">
        <v>1367</v>
      </c>
      <c r="K266" t="s">
        <v>1496</v>
      </c>
    </row>
    <row r="267" spans="6:11" x14ac:dyDescent="0.25">
      <c r="F267" t="s">
        <v>37</v>
      </c>
      <c r="G267" t="s">
        <v>290</v>
      </c>
      <c r="H267" t="s">
        <v>913</v>
      </c>
      <c r="J267" t="s">
        <v>1358</v>
      </c>
      <c r="K267" t="s">
        <v>1358</v>
      </c>
    </row>
    <row r="268" spans="6:11" x14ac:dyDescent="0.25">
      <c r="F268" t="s">
        <v>37</v>
      </c>
      <c r="G268" t="s">
        <v>306</v>
      </c>
      <c r="H268" t="s">
        <v>214</v>
      </c>
      <c r="J268" t="s">
        <v>1368</v>
      </c>
      <c r="K268" t="s">
        <v>1495</v>
      </c>
    </row>
    <row r="269" spans="6:11" x14ac:dyDescent="0.25">
      <c r="F269" t="s">
        <v>37</v>
      </c>
      <c r="G269" t="s">
        <v>393</v>
      </c>
      <c r="H269" t="s">
        <v>414</v>
      </c>
      <c r="J269" t="s">
        <v>1361</v>
      </c>
      <c r="K269" t="s">
        <v>1361</v>
      </c>
    </row>
    <row r="270" spans="6:11" x14ac:dyDescent="0.25">
      <c r="F270" t="s">
        <v>37</v>
      </c>
      <c r="G270" t="s">
        <v>1689</v>
      </c>
      <c r="H270" t="s">
        <v>1688</v>
      </c>
      <c r="J270" t="s">
        <v>1369</v>
      </c>
      <c r="K270" t="s">
        <v>1494</v>
      </c>
    </row>
    <row r="271" spans="6:11" x14ac:dyDescent="0.25">
      <c r="F271" t="s">
        <v>37</v>
      </c>
      <c r="G271" t="s">
        <v>413</v>
      </c>
      <c r="H271" t="s">
        <v>328</v>
      </c>
      <c r="J271" t="s">
        <v>1370</v>
      </c>
      <c r="K271" t="s">
        <v>1493</v>
      </c>
    </row>
    <row r="272" spans="6:11" x14ac:dyDescent="0.25">
      <c r="F272" t="s">
        <v>37</v>
      </c>
      <c r="G272" t="s">
        <v>456</v>
      </c>
      <c r="H272" t="s">
        <v>219</v>
      </c>
      <c r="J272" t="s">
        <v>1371</v>
      </c>
      <c r="K272" t="s">
        <v>1492</v>
      </c>
    </row>
    <row r="273" spans="6:11" x14ac:dyDescent="0.25">
      <c r="F273" t="s">
        <v>37</v>
      </c>
      <c r="G273" t="s">
        <v>1691</v>
      </c>
      <c r="H273" t="s">
        <v>1690</v>
      </c>
      <c r="J273" t="s">
        <v>1372</v>
      </c>
      <c r="K273" t="s">
        <v>1491</v>
      </c>
    </row>
    <row r="274" spans="6:11" x14ac:dyDescent="0.25">
      <c r="F274" t="s">
        <v>37</v>
      </c>
      <c r="G274" t="s">
        <v>514</v>
      </c>
      <c r="H274" t="s">
        <v>396</v>
      </c>
      <c r="J274" t="s">
        <v>1373</v>
      </c>
      <c r="K274" t="s">
        <v>1490</v>
      </c>
    </row>
    <row r="275" spans="6:11" x14ac:dyDescent="0.25">
      <c r="F275" t="s">
        <v>37</v>
      </c>
      <c r="G275" t="s">
        <v>1898</v>
      </c>
      <c r="H275" t="s">
        <v>1896</v>
      </c>
      <c r="J275" t="s">
        <v>1374</v>
      </c>
      <c r="K275" t="s">
        <v>1433</v>
      </c>
    </row>
    <row r="276" spans="6:11" x14ac:dyDescent="0.25">
      <c r="F276" t="s">
        <v>37</v>
      </c>
      <c r="G276" t="s">
        <v>703</v>
      </c>
      <c r="H276" t="s">
        <v>949</v>
      </c>
      <c r="J276" t="s">
        <v>1375</v>
      </c>
      <c r="K276" t="s">
        <v>1489</v>
      </c>
    </row>
    <row r="277" spans="6:11" x14ac:dyDescent="0.25">
      <c r="F277" t="s">
        <v>37</v>
      </c>
      <c r="G277" t="s">
        <v>718</v>
      </c>
      <c r="H277" t="s">
        <v>458</v>
      </c>
      <c r="J277" t="s">
        <v>1376</v>
      </c>
      <c r="K277" t="s">
        <v>1434</v>
      </c>
    </row>
    <row r="278" spans="6:11" x14ac:dyDescent="0.25">
      <c r="F278" t="s">
        <v>37</v>
      </c>
      <c r="G278" t="s">
        <v>757</v>
      </c>
      <c r="H278" t="s">
        <v>882</v>
      </c>
      <c r="J278" t="s">
        <v>1377</v>
      </c>
      <c r="K278" t="s">
        <v>1488</v>
      </c>
    </row>
    <row r="279" spans="6:11" x14ac:dyDescent="0.25">
      <c r="F279" t="s">
        <v>37</v>
      </c>
      <c r="G279" t="s">
        <v>841</v>
      </c>
      <c r="H279" t="s">
        <v>584</v>
      </c>
      <c r="J279" t="s">
        <v>1378</v>
      </c>
      <c r="K279" t="s">
        <v>1435</v>
      </c>
    </row>
    <row r="280" spans="6:11" x14ac:dyDescent="0.25">
      <c r="F280" t="s">
        <v>37</v>
      </c>
      <c r="G280" t="s">
        <v>912</v>
      </c>
      <c r="H280" t="s">
        <v>1031</v>
      </c>
      <c r="J280" t="s">
        <v>1379</v>
      </c>
      <c r="K280" t="s">
        <v>1436</v>
      </c>
    </row>
    <row r="281" spans="6:11" x14ac:dyDescent="0.25">
      <c r="F281" t="s">
        <v>37</v>
      </c>
      <c r="G281" t="s">
        <v>1057</v>
      </c>
      <c r="H281" t="s">
        <v>291</v>
      </c>
      <c r="J281" t="s">
        <v>1380</v>
      </c>
      <c r="K281" t="s">
        <v>1437</v>
      </c>
    </row>
    <row r="282" spans="6:11" x14ac:dyDescent="0.25">
      <c r="F282" t="s">
        <v>1633</v>
      </c>
      <c r="G282" t="s">
        <v>1693</v>
      </c>
      <c r="H282" t="s">
        <v>1692</v>
      </c>
      <c r="J282" t="s">
        <v>1381</v>
      </c>
      <c r="K282" t="s">
        <v>1381</v>
      </c>
    </row>
    <row r="283" spans="6:11" x14ac:dyDescent="0.25">
      <c r="F283" t="s">
        <v>1633</v>
      </c>
      <c r="G283" t="s">
        <v>15</v>
      </c>
      <c r="H283" t="s">
        <v>1050</v>
      </c>
      <c r="J283" t="s">
        <v>1382</v>
      </c>
      <c r="K283" t="s">
        <v>1487</v>
      </c>
    </row>
    <row r="284" spans="6:11" x14ac:dyDescent="0.25">
      <c r="F284" t="s">
        <v>1633</v>
      </c>
      <c r="G284" t="s">
        <v>30</v>
      </c>
      <c r="H284" t="s">
        <v>723</v>
      </c>
      <c r="J284" t="s">
        <v>1383</v>
      </c>
      <c r="K284" t="s">
        <v>1486</v>
      </c>
    </row>
    <row r="285" spans="6:11" x14ac:dyDescent="0.25">
      <c r="F285" t="s">
        <v>1633</v>
      </c>
      <c r="G285" t="s">
        <v>1695</v>
      </c>
      <c r="H285" t="s">
        <v>1694</v>
      </c>
      <c r="J285" t="s">
        <v>1384</v>
      </c>
      <c r="K285" t="s">
        <v>1485</v>
      </c>
    </row>
    <row r="286" spans="6:11" x14ac:dyDescent="0.25">
      <c r="F286" t="s">
        <v>1633</v>
      </c>
      <c r="G286" t="s">
        <v>112</v>
      </c>
      <c r="H286" t="s">
        <v>255</v>
      </c>
      <c r="J286" t="s">
        <v>1385</v>
      </c>
      <c r="K286" t="s">
        <v>1484</v>
      </c>
    </row>
    <row r="287" spans="6:11" x14ac:dyDescent="0.25">
      <c r="F287" t="s">
        <v>1633</v>
      </c>
      <c r="G287" t="s">
        <v>120</v>
      </c>
      <c r="H287" t="s">
        <v>443</v>
      </c>
      <c r="J287" t="s">
        <v>1386</v>
      </c>
      <c r="K287" t="s">
        <v>1483</v>
      </c>
    </row>
    <row r="288" spans="6:11" x14ac:dyDescent="0.25">
      <c r="F288" t="s">
        <v>1633</v>
      </c>
      <c r="G288" t="s">
        <v>128</v>
      </c>
      <c r="H288" t="s">
        <v>701</v>
      </c>
      <c r="J288" t="s">
        <v>1387</v>
      </c>
      <c r="K288" t="s">
        <v>1387</v>
      </c>
    </row>
    <row r="289" spans="6:8" x14ac:dyDescent="0.25">
      <c r="F289" t="s">
        <v>1633</v>
      </c>
      <c r="G289" t="s">
        <v>136</v>
      </c>
      <c r="H289" t="s">
        <v>948</v>
      </c>
    </row>
    <row r="290" spans="6:8" x14ac:dyDescent="0.25">
      <c r="F290" t="s">
        <v>1633</v>
      </c>
      <c r="G290" t="s">
        <v>198</v>
      </c>
      <c r="H290" t="s">
        <v>453</v>
      </c>
    </row>
    <row r="291" spans="6:8" x14ac:dyDescent="0.25">
      <c r="F291" t="s">
        <v>1633</v>
      </c>
      <c r="G291" t="s">
        <v>243</v>
      </c>
      <c r="H291" t="s">
        <v>297</v>
      </c>
    </row>
    <row r="292" spans="6:8" x14ac:dyDescent="0.25">
      <c r="F292" t="s">
        <v>1633</v>
      </c>
      <c r="G292" t="s">
        <v>274</v>
      </c>
      <c r="H292" t="s">
        <v>113</v>
      </c>
    </row>
    <row r="293" spans="6:8" x14ac:dyDescent="0.25">
      <c r="F293" t="s">
        <v>1633</v>
      </c>
      <c r="G293" t="s">
        <v>296</v>
      </c>
      <c r="H293" t="s">
        <v>943</v>
      </c>
    </row>
    <row r="294" spans="6:8" x14ac:dyDescent="0.25">
      <c r="F294" t="s">
        <v>1633</v>
      </c>
      <c r="G294" t="s">
        <v>331</v>
      </c>
      <c r="H294" t="s">
        <v>199</v>
      </c>
    </row>
    <row r="295" spans="6:8" x14ac:dyDescent="0.25">
      <c r="F295" t="s">
        <v>1633</v>
      </c>
      <c r="G295" t="s">
        <v>335</v>
      </c>
      <c r="H295" t="s">
        <v>91</v>
      </c>
    </row>
    <row r="296" spans="6:8" x14ac:dyDescent="0.25">
      <c r="F296" t="s">
        <v>1633</v>
      </c>
      <c r="G296" t="s">
        <v>397</v>
      </c>
      <c r="H296" t="s">
        <v>434</v>
      </c>
    </row>
    <row r="297" spans="6:8" x14ac:dyDescent="0.25">
      <c r="F297" t="s">
        <v>1633</v>
      </c>
      <c r="G297" t="s">
        <v>433</v>
      </c>
      <c r="H297" t="s">
        <v>927</v>
      </c>
    </row>
    <row r="298" spans="6:8" x14ac:dyDescent="0.25">
      <c r="F298" t="s">
        <v>1633</v>
      </c>
      <c r="G298" t="s">
        <v>1897</v>
      </c>
      <c r="H298" t="s">
        <v>1696</v>
      </c>
    </row>
    <row r="299" spans="6:8" x14ac:dyDescent="0.25">
      <c r="F299" t="s">
        <v>1633</v>
      </c>
      <c r="G299" t="s">
        <v>459</v>
      </c>
      <c r="H299" t="s">
        <v>788</v>
      </c>
    </row>
    <row r="300" spans="6:8" x14ac:dyDescent="0.25">
      <c r="F300" t="s">
        <v>1633</v>
      </c>
      <c r="G300" t="s">
        <v>520</v>
      </c>
      <c r="H300" t="s">
        <v>563</v>
      </c>
    </row>
    <row r="301" spans="6:8" x14ac:dyDescent="0.25">
      <c r="F301" t="s">
        <v>1633</v>
      </c>
      <c r="G301" t="s">
        <v>530</v>
      </c>
      <c r="H301" t="s">
        <v>129</v>
      </c>
    </row>
    <row r="302" spans="6:8" x14ac:dyDescent="0.25">
      <c r="F302" t="s">
        <v>1633</v>
      </c>
      <c r="G302" t="s">
        <v>562</v>
      </c>
      <c r="H302" t="s">
        <v>521</v>
      </c>
    </row>
    <row r="303" spans="6:8" x14ac:dyDescent="0.25">
      <c r="F303" t="s">
        <v>1633</v>
      </c>
      <c r="G303" t="s">
        <v>600</v>
      </c>
      <c r="H303" t="s">
        <v>766</v>
      </c>
    </row>
    <row r="304" spans="6:8" x14ac:dyDescent="0.25">
      <c r="F304" t="s">
        <v>1633</v>
      </c>
      <c r="G304" t="s">
        <v>610</v>
      </c>
      <c r="H304" t="s">
        <v>121</v>
      </c>
    </row>
    <row r="305" spans="6:8" x14ac:dyDescent="0.25">
      <c r="F305" t="s">
        <v>1633</v>
      </c>
      <c r="G305" t="s">
        <v>700</v>
      </c>
      <c r="H305" t="s">
        <v>276</v>
      </c>
    </row>
    <row r="306" spans="6:8" x14ac:dyDescent="0.25">
      <c r="F306" t="s">
        <v>1633</v>
      </c>
      <c r="G306" t="s">
        <v>708</v>
      </c>
      <c r="H306" t="s">
        <v>798</v>
      </c>
    </row>
    <row r="307" spans="6:8" x14ac:dyDescent="0.25">
      <c r="F307" t="s">
        <v>1633</v>
      </c>
      <c r="G307" t="s">
        <v>722</v>
      </c>
      <c r="H307" t="s">
        <v>269</v>
      </c>
    </row>
    <row r="308" spans="6:8" x14ac:dyDescent="0.25">
      <c r="F308" t="s">
        <v>1633</v>
      </c>
      <c r="G308" t="s">
        <v>727</v>
      </c>
      <c r="H308" t="s">
        <v>398</v>
      </c>
    </row>
    <row r="309" spans="6:8" x14ac:dyDescent="0.25">
      <c r="F309" t="s">
        <v>1633</v>
      </c>
      <c r="G309" t="s">
        <v>765</v>
      </c>
      <c r="H309" t="s">
        <v>16</v>
      </c>
    </row>
    <row r="310" spans="6:8" x14ac:dyDescent="0.25">
      <c r="F310" t="s">
        <v>1633</v>
      </c>
      <c r="G310" t="s">
        <v>779</v>
      </c>
      <c r="H310" t="s">
        <v>1082</v>
      </c>
    </row>
    <row r="311" spans="6:8" x14ac:dyDescent="0.25">
      <c r="F311" t="s">
        <v>1633</v>
      </c>
      <c r="G311" t="s">
        <v>844</v>
      </c>
      <c r="H311" t="s">
        <v>244</v>
      </c>
    </row>
    <row r="312" spans="6:8" x14ac:dyDescent="0.25">
      <c r="F312" t="s">
        <v>1633</v>
      </c>
      <c r="G312" t="s">
        <v>847</v>
      </c>
      <c r="H312" t="s">
        <v>611</v>
      </c>
    </row>
    <row r="313" spans="6:8" x14ac:dyDescent="0.25">
      <c r="F313" t="s">
        <v>1633</v>
      </c>
      <c r="G313" t="s">
        <v>926</v>
      </c>
      <c r="H313" t="s">
        <v>137</v>
      </c>
    </row>
    <row r="314" spans="6:8" x14ac:dyDescent="0.25">
      <c r="F314" t="s">
        <v>1633</v>
      </c>
      <c r="G314" t="s">
        <v>942</v>
      </c>
      <c r="H314" t="s">
        <v>780</v>
      </c>
    </row>
    <row r="315" spans="6:8" x14ac:dyDescent="0.25">
      <c r="F315" t="s">
        <v>1633</v>
      </c>
      <c r="G315" t="s">
        <v>947</v>
      </c>
      <c r="H315" t="s">
        <v>332</v>
      </c>
    </row>
    <row r="316" spans="6:8" x14ac:dyDescent="0.25">
      <c r="F316" t="s">
        <v>1633</v>
      </c>
      <c r="G316" t="s">
        <v>973</v>
      </c>
      <c r="H316" t="s">
        <v>974</v>
      </c>
    </row>
    <row r="317" spans="6:8" x14ac:dyDescent="0.25">
      <c r="F317" t="s">
        <v>1633</v>
      </c>
      <c r="G317" t="s">
        <v>979</v>
      </c>
      <c r="H317" t="s">
        <v>601</v>
      </c>
    </row>
    <row r="318" spans="6:8" x14ac:dyDescent="0.25">
      <c r="F318" t="s">
        <v>1633</v>
      </c>
      <c r="G318" t="s">
        <v>1049</v>
      </c>
      <c r="H318" t="s">
        <v>460</v>
      </c>
    </row>
    <row r="319" spans="6:8" x14ac:dyDescent="0.25">
      <c r="F319" t="s">
        <v>1633</v>
      </c>
      <c r="G319" t="s">
        <v>1081</v>
      </c>
      <c r="H319" t="s">
        <v>1697</v>
      </c>
    </row>
    <row r="320" spans="6:8" x14ac:dyDescent="0.25">
      <c r="F320" t="s">
        <v>51</v>
      </c>
      <c r="G320" t="s">
        <v>53</v>
      </c>
      <c r="H320" t="s">
        <v>227</v>
      </c>
    </row>
    <row r="321" spans="6:8" x14ac:dyDescent="0.25">
      <c r="F321" t="s">
        <v>51</v>
      </c>
      <c r="G321" t="s">
        <v>69</v>
      </c>
      <c r="H321" t="s">
        <v>327</v>
      </c>
    </row>
    <row r="322" spans="6:8" x14ac:dyDescent="0.25">
      <c r="F322" t="s">
        <v>51</v>
      </c>
      <c r="G322" t="s">
        <v>86</v>
      </c>
      <c r="H322" t="s">
        <v>509</v>
      </c>
    </row>
    <row r="323" spans="6:8" x14ac:dyDescent="0.25">
      <c r="F323" t="s">
        <v>51</v>
      </c>
      <c r="G323" t="s">
        <v>104</v>
      </c>
      <c r="H323" t="s">
        <v>613</v>
      </c>
    </row>
    <row r="324" spans="6:8" x14ac:dyDescent="0.25">
      <c r="F324" t="s">
        <v>51</v>
      </c>
      <c r="G324" t="s">
        <v>112</v>
      </c>
      <c r="H324" t="s">
        <v>785</v>
      </c>
    </row>
    <row r="325" spans="6:8" x14ac:dyDescent="0.25">
      <c r="F325" t="s">
        <v>51</v>
      </c>
      <c r="G325" t="s">
        <v>118</v>
      </c>
      <c r="H325" t="s">
        <v>988</v>
      </c>
    </row>
    <row r="326" spans="6:8" x14ac:dyDescent="0.25">
      <c r="F326" t="s">
        <v>51</v>
      </c>
      <c r="G326" t="s">
        <v>124</v>
      </c>
      <c r="H326" t="s">
        <v>1042</v>
      </c>
    </row>
    <row r="327" spans="6:8" x14ac:dyDescent="0.25">
      <c r="F327" t="s">
        <v>51</v>
      </c>
      <c r="G327" t="s">
        <v>171</v>
      </c>
      <c r="H327" t="s">
        <v>1698</v>
      </c>
    </row>
    <row r="328" spans="6:8" x14ac:dyDescent="0.25">
      <c r="F328" t="s">
        <v>51</v>
      </c>
      <c r="G328" t="s">
        <v>194</v>
      </c>
      <c r="H328" t="s">
        <v>1009</v>
      </c>
    </row>
    <row r="329" spans="6:8" x14ac:dyDescent="0.25">
      <c r="F329" t="s">
        <v>51</v>
      </c>
      <c r="G329" t="s">
        <v>203</v>
      </c>
      <c r="H329" t="s">
        <v>223</v>
      </c>
    </row>
    <row r="330" spans="6:8" x14ac:dyDescent="0.25">
      <c r="F330" t="s">
        <v>51</v>
      </c>
      <c r="G330" t="s">
        <v>220</v>
      </c>
      <c r="H330" t="s">
        <v>489</v>
      </c>
    </row>
    <row r="331" spans="6:8" x14ac:dyDescent="0.25">
      <c r="F331" t="s">
        <v>51</v>
      </c>
      <c r="G331" t="s">
        <v>222</v>
      </c>
      <c r="H331" t="s">
        <v>667</v>
      </c>
    </row>
    <row r="332" spans="6:8" x14ac:dyDescent="0.25">
      <c r="F332" t="s">
        <v>51</v>
      </c>
      <c r="G332" t="s">
        <v>224</v>
      </c>
      <c r="H332" t="s">
        <v>993</v>
      </c>
    </row>
    <row r="333" spans="6:8" x14ac:dyDescent="0.25">
      <c r="F333" t="s">
        <v>51</v>
      </c>
      <c r="G333" t="s">
        <v>226</v>
      </c>
      <c r="H333" t="s">
        <v>1046</v>
      </c>
    </row>
    <row r="334" spans="6:8" x14ac:dyDescent="0.25">
      <c r="F334" t="s">
        <v>51</v>
      </c>
      <c r="G334" t="s">
        <v>230</v>
      </c>
      <c r="H334" t="s">
        <v>231</v>
      </c>
    </row>
    <row r="335" spans="6:8" x14ac:dyDescent="0.25">
      <c r="F335" t="s">
        <v>51</v>
      </c>
      <c r="G335" t="s">
        <v>277</v>
      </c>
      <c r="H335" t="s">
        <v>904</v>
      </c>
    </row>
    <row r="336" spans="6:8" x14ac:dyDescent="0.25">
      <c r="F336" t="s">
        <v>51</v>
      </c>
      <c r="G336" t="s">
        <v>285</v>
      </c>
      <c r="H336" t="s">
        <v>657</v>
      </c>
    </row>
    <row r="337" spans="6:8" x14ac:dyDescent="0.25">
      <c r="F337" t="s">
        <v>51</v>
      </c>
      <c r="G337" t="s">
        <v>326</v>
      </c>
      <c r="H337" t="s">
        <v>682</v>
      </c>
    </row>
    <row r="338" spans="6:8" x14ac:dyDescent="0.25">
      <c r="F338" t="s">
        <v>51</v>
      </c>
      <c r="G338" t="s">
        <v>342</v>
      </c>
      <c r="H338" t="s">
        <v>954</v>
      </c>
    </row>
    <row r="339" spans="6:8" x14ac:dyDescent="0.25">
      <c r="F339" t="s">
        <v>51</v>
      </c>
      <c r="G339" t="s">
        <v>366</v>
      </c>
      <c r="H339" t="s">
        <v>867</v>
      </c>
    </row>
    <row r="340" spans="6:8" x14ac:dyDescent="0.25">
      <c r="F340" t="s">
        <v>51</v>
      </c>
      <c r="G340" t="s">
        <v>371</v>
      </c>
      <c r="H340" t="s">
        <v>70</v>
      </c>
    </row>
    <row r="341" spans="6:8" x14ac:dyDescent="0.25">
      <c r="F341" t="s">
        <v>51</v>
      </c>
      <c r="G341" t="s">
        <v>376</v>
      </c>
      <c r="H341" t="s">
        <v>109</v>
      </c>
    </row>
    <row r="342" spans="6:8" x14ac:dyDescent="0.25">
      <c r="F342" t="s">
        <v>51</v>
      </c>
      <c r="G342" t="s">
        <v>391</v>
      </c>
      <c r="H342" t="s">
        <v>372</v>
      </c>
    </row>
    <row r="343" spans="6:8" x14ac:dyDescent="0.25">
      <c r="F343" t="s">
        <v>51</v>
      </c>
      <c r="G343" t="s">
        <v>405</v>
      </c>
      <c r="H343" t="s">
        <v>801</v>
      </c>
    </row>
    <row r="344" spans="6:8" x14ac:dyDescent="0.25">
      <c r="F344" t="s">
        <v>51</v>
      </c>
      <c r="G344" t="s">
        <v>488</v>
      </c>
      <c r="H344" t="s">
        <v>871</v>
      </c>
    </row>
    <row r="345" spans="6:8" x14ac:dyDescent="0.25">
      <c r="F345" t="s">
        <v>51</v>
      </c>
      <c r="G345" t="s">
        <v>504</v>
      </c>
      <c r="H345" t="s">
        <v>1048</v>
      </c>
    </row>
    <row r="346" spans="6:8" x14ac:dyDescent="0.25">
      <c r="F346" t="s">
        <v>51</v>
      </c>
      <c r="G346" t="s">
        <v>508</v>
      </c>
      <c r="H346" t="s">
        <v>119</v>
      </c>
    </row>
    <row r="347" spans="6:8" x14ac:dyDescent="0.25">
      <c r="F347" t="s">
        <v>51</v>
      </c>
      <c r="G347" t="s">
        <v>518</v>
      </c>
      <c r="H347" t="s">
        <v>225</v>
      </c>
    </row>
    <row r="348" spans="6:8" x14ac:dyDescent="0.25">
      <c r="F348" t="s">
        <v>51</v>
      </c>
      <c r="G348" t="s">
        <v>528</v>
      </c>
      <c r="H348" t="s">
        <v>505</v>
      </c>
    </row>
    <row r="349" spans="6:8" x14ac:dyDescent="0.25">
      <c r="F349" t="s">
        <v>51</v>
      </c>
      <c r="G349" t="s">
        <v>548</v>
      </c>
      <c r="H349" t="s">
        <v>392</v>
      </c>
    </row>
    <row r="350" spans="6:8" x14ac:dyDescent="0.25">
      <c r="F350" t="s">
        <v>51</v>
      </c>
      <c r="G350" t="s">
        <v>558</v>
      </c>
      <c r="H350" t="s">
        <v>849</v>
      </c>
    </row>
    <row r="351" spans="6:8" x14ac:dyDescent="0.25">
      <c r="F351" t="s">
        <v>51</v>
      </c>
      <c r="G351" t="s">
        <v>569</v>
      </c>
      <c r="H351" t="s">
        <v>906</v>
      </c>
    </row>
    <row r="352" spans="6:8" x14ac:dyDescent="0.25">
      <c r="F352" t="s">
        <v>51</v>
      </c>
      <c r="G352" t="s">
        <v>1699</v>
      </c>
      <c r="H352" t="s">
        <v>941</v>
      </c>
    </row>
    <row r="353" spans="6:8" x14ac:dyDescent="0.25">
      <c r="F353" t="s">
        <v>51</v>
      </c>
      <c r="G353" t="s">
        <v>592</v>
      </c>
      <c r="H353" t="s">
        <v>985</v>
      </c>
    </row>
    <row r="354" spans="6:8" x14ac:dyDescent="0.25">
      <c r="F354" t="s">
        <v>51</v>
      </c>
      <c r="G354" t="s">
        <v>612</v>
      </c>
      <c r="H354" t="s">
        <v>1100</v>
      </c>
    </row>
    <row r="355" spans="6:8" x14ac:dyDescent="0.25">
      <c r="F355" t="s">
        <v>51</v>
      </c>
      <c r="G355" t="s">
        <v>627</v>
      </c>
      <c r="H355" t="s">
        <v>54</v>
      </c>
    </row>
    <row r="356" spans="6:8" x14ac:dyDescent="0.25">
      <c r="F356" t="s">
        <v>51</v>
      </c>
      <c r="G356" t="s">
        <v>656</v>
      </c>
      <c r="H356" t="s">
        <v>367</v>
      </c>
    </row>
    <row r="357" spans="6:8" x14ac:dyDescent="0.25">
      <c r="F357" t="s">
        <v>51</v>
      </c>
      <c r="G357" t="s">
        <v>666</v>
      </c>
      <c r="H357" t="s">
        <v>377</v>
      </c>
    </row>
    <row r="358" spans="6:8" x14ac:dyDescent="0.25">
      <c r="F358" t="s">
        <v>51</v>
      </c>
      <c r="G358" t="s">
        <v>681</v>
      </c>
      <c r="H358" t="s">
        <v>519</v>
      </c>
    </row>
    <row r="359" spans="6:8" x14ac:dyDescent="0.25">
      <c r="F359" t="s">
        <v>51</v>
      </c>
      <c r="G359" t="s">
        <v>709</v>
      </c>
      <c r="H359" t="s">
        <v>587</v>
      </c>
    </row>
    <row r="360" spans="6:8" x14ac:dyDescent="0.25">
      <c r="F360" t="s">
        <v>51</v>
      </c>
      <c r="G360" t="s">
        <v>767</v>
      </c>
      <c r="H360" t="s">
        <v>570</v>
      </c>
    </row>
    <row r="361" spans="6:8" x14ac:dyDescent="0.25">
      <c r="F361" t="s">
        <v>51</v>
      </c>
      <c r="G361" t="s">
        <v>784</v>
      </c>
      <c r="H361" t="s">
        <v>628</v>
      </c>
    </row>
    <row r="362" spans="6:8" x14ac:dyDescent="0.25">
      <c r="F362" t="s">
        <v>51</v>
      </c>
      <c r="G362" t="s">
        <v>800</v>
      </c>
      <c r="H362" t="s">
        <v>768</v>
      </c>
    </row>
    <row r="363" spans="6:8" x14ac:dyDescent="0.25">
      <c r="F363" t="s">
        <v>51</v>
      </c>
      <c r="G363" t="s">
        <v>848</v>
      </c>
      <c r="H363" t="s">
        <v>195</v>
      </c>
    </row>
    <row r="364" spans="6:8" x14ac:dyDescent="0.25">
      <c r="F364" t="s">
        <v>51</v>
      </c>
      <c r="G364" t="s">
        <v>866</v>
      </c>
      <c r="H364" t="s">
        <v>221</v>
      </c>
    </row>
    <row r="365" spans="6:8" x14ac:dyDescent="0.25">
      <c r="F365" t="s">
        <v>51</v>
      </c>
      <c r="G365" t="s">
        <v>870</v>
      </c>
      <c r="H365" t="s">
        <v>278</v>
      </c>
    </row>
    <row r="366" spans="6:8" x14ac:dyDescent="0.25">
      <c r="F366" t="s">
        <v>51</v>
      </c>
      <c r="G366" t="s">
        <v>891</v>
      </c>
      <c r="H366" t="s">
        <v>406</v>
      </c>
    </row>
    <row r="367" spans="6:8" x14ac:dyDescent="0.25">
      <c r="F367" t="s">
        <v>51</v>
      </c>
      <c r="G367" t="s">
        <v>901</v>
      </c>
      <c r="H367" t="s">
        <v>559</v>
      </c>
    </row>
    <row r="368" spans="6:8" x14ac:dyDescent="0.25">
      <c r="F368" t="s">
        <v>51</v>
      </c>
      <c r="G368" t="s">
        <v>903</v>
      </c>
      <c r="H368" t="s">
        <v>1023</v>
      </c>
    </row>
    <row r="369" spans="6:8" x14ac:dyDescent="0.25">
      <c r="F369" t="s">
        <v>51</v>
      </c>
      <c r="G369" t="s">
        <v>905</v>
      </c>
      <c r="H369" t="s">
        <v>87</v>
      </c>
    </row>
    <row r="370" spans="6:8" x14ac:dyDescent="0.25">
      <c r="F370" t="s">
        <v>51</v>
      </c>
      <c r="G370" t="s">
        <v>940</v>
      </c>
      <c r="H370" t="s">
        <v>204</v>
      </c>
    </row>
    <row r="371" spans="6:8" x14ac:dyDescent="0.25">
      <c r="F371" t="s">
        <v>51</v>
      </c>
      <c r="G371" t="s">
        <v>953</v>
      </c>
      <c r="H371" t="s">
        <v>287</v>
      </c>
    </row>
    <row r="372" spans="6:8" x14ac:dyDescent="0.25">
      <c r="F372" t="s">
        <v>51</v>
      </c>
      <c r="G372" t="s">
        <v>984</v>
      </c>
      <c r="H372" t="s">
        <v>529</v>
      </c>
    </row>
    <row r="373" spans="6:8" x14ac:dyDescent="0.25">
      <c r="F373" t="s">
        <v>51</v>
      </c>
      <c r="G373" t="s">
        <v>987</v>
      </c>
      <c r="H373" t="s">
        <v>593</v>
      </c>
    </row>
    <row r="374" spans="6:8" x14ac:dyDescent="0.25">
      <c r="F374" t="s">
        <v>51</v>
      </c>
      <c r="G374" t="s">
        <v>992</v>
      </c>
      <c r="H374" t="s">
        <v>902</v>
      </c>
    </row>
    <row r="375" spans="6:8" x14ac:dyDescent="0.25">
      <c r="F375" t="s">
        <v>51</v>
      </c>
      <c r="G375" t="s">
        <v>1008</v>
      </c>
      <c r="H375" t="s">
        <v>125</v>
      </c>
    </row>
    <row r="376" spans="6:8" x14ac:dyDescent="0.25">
      <c r="F376" t="s">
        <v>51</v>
      </c>
      <c r="G376" t="s">
        <v>1022</v>
      </c>
      <c r="H376" t="s">
        <v>711</v>
      </c>
    </row>
    <row r="377" spans="6:8" x14ac:dyDescent="0.25">
      <c r="F377" t="s">
        <v>51</v>
      </c>
      <c r="G377" t="s">
        <v>1041</v>
      </c>
      <c r="H377" t="s">
        <v>549</v>
      </c>
    </row>
    <row r="378" spans="6:8" x14ac:dyDescent="0.25">
      <c r="F378" t="s">
        <v>51</v>
      </c>
      <c r="G378" t="s">
        <v>1045</v>
      </c>
      <c r="H378" t="s">
        <v>343</v>
      </c>
    </row>
    <row r="379" spans="6:8" x14ac:dyDescent="0.25">
      <c r="F379" t="s">
        <v>51</v>
      </c>
      <c r="G379" t="s">
        <v>1047</v>
      </c>
      <c r="H379" t="s">
        <v>892</v>
      </c>
    </row>
    <row r="380" spans="6:8" x14ac:dyDescent="0.25">
      <c r="F380" t="s">
        <v>51</v>
      </c>
      <c r="G380" t="s">
        <v>1093</v>
      </c>
      <c r="H380" t="s">
        <v>1094</v>
      </c>
    </row>
    <row r="381" spans="6:8" x14ac:dyDescent="0.25">
      <c r="F381" t="s">
        <v>51</v>
      </c>
      <c r="G381" t="s">
        <v>1099</v>
      </c>
      <c r="H381" t="s">
        <v>1700</v>
      </c>
    </row>
    <row r="382" spans="6:8" x14ac:dyDescent="0.25">
      <c r="F382" t="s">
        <v>34</v>
      </c>
      <c r="G382" t="s">
        <v>1702</v>
      </c>
      <c r="H382" t="s">
        <v>1701</v>
      </c>
    </row>
    <row r="383" spans="6:8" x14ac:dyDescent="0.25">
      <c r="F383" t="s">
        <v>34</v>
      </c>
      <c r="G383" t="s">
        <v>63</v>
      </c>
      <c r="H383" t="s">
        <v>1703</v>
      </c>
    </row>
    <row r="384" spans="6:8" x14ac:dyDescent="0.25">
      <c r="F384" t="s">
        <v>34</v>
      </c>
      <c r="G384" t="s">
        <v>66</v>
      </c>
      <c r="H384" t="s">
        <v>1704</v>
      </c>
    </row>
    <row r="385" spans="6:8" x14ac:dyDescent="0.25">
      <c r="F385" t="s">
        <v>34</v>
      </c>
      <c r="G385" t="s">
        <v>88</v>
      </c>
      <c r="H385" t="s">
        <v>1705</v>
      </c>
    </row>
    <row r="386" spans="6:8" x14ac:dyDescent="0.25">
      <c r="F386" t="s">
        <v>34</v>
      </c>
      <c r="G386" t="s">
        <v>112</v>
      </c>
      <c r="H386" t="s">
        <v>1706</v>
      </c>
    </row>
    <row r="387" spans="6:8" x14ac:dyDescent="0.25">
      <c r="F387" t="s">
        <v>34</v>
      </c>
      <c r="G387" t="s">
        <v>114</v>
      </c>
      <c r="H387" t="s">
        <v>1707</v>
      </c>
    </row>
    <row r="388" spans="6:8" x14ac:dyDescent="0.25">
      <c r="F388" t="s">
        <v>34</v>
      </c>
      <c r="G388" t="s">
        <v>168</v>
      </c>
      <c r="H388" t="s">
        <v>1708</v>
      </c>
    </row>
    <row r="389" spans="6:8" x14ac:dyDescent="0.25">
      <c r="F389" t="s">
        <v>34</v>
      </c>
      <c r="G389" t="s">
        <v>174</v>
      </c>
      <c r="H389" t="s">
        <v>1709</v>
      </c>
    </row>
    <row r="390" spans="6:8" x14ac:dyDescent="0.25">
      <c r="F390" t="s">
        <v>34</v>
      </c>
      <c r="G390" t="s">
        <v>179</v>
      </c>
      <c r="H390" t="s">
        <v>1710</v>
      </c>
    </row>
    <row r="391" spans="6:8" x14ac:dyDescent="0.25">
      <c r="F391" t="s">
        <v>34</v>
      </c>
      <c r="G391" t="s">
        <v>260</v>
      </c>
      <c r="H391" t="s">
        <v>1711</v>
      </c>
    </row>
    <row r="392" spans="6:8" x14ac:dyDescent="0.25">
      <c r="F392" t="s">
        <v>34</v>
      </c>
      <c r="G392" t="s">
        <v>317</v>
      </c>
      <c r="H392" t="s">
        <v>1712</v>
      </c>
    </row>
    <row r="393" spans="6:8" x14ac:dyDescent="0.25">
      <c r="F393" t="s">
        <v>34</v>
      </c>
      <c r="G393" t="s">
        <v>341</v>
      </c>
      <c r="H393" t="s">
        <v>1713</v>
      </c>
    </row>
    <row r="394" spans="6:8" x14ac:dyDescent="0.25">
      <c r="F394" t="s">
        <v>34</v>
      </c>
      <c r="G394" t="s">
        <v>349</v>
      </c>
      <c r="H394" t="s">
        <v>1714</v>
      </c>
    </row>
    <row r="395" spans="6:8" x14ac:dyDescent="0.25">
      <c r="F395" t="s">
        <v>34</v>
      </c>
      <c r="G395" t="s">
        <v>365</v>
      </c>
      <c r="H395" t="s">
        <v>1715</v>
      </c>
    </row>
    <row r="396" spans="6:8" x14ac:dyDescent="0.25">
      <c r="F396" t="s">
        <v>34</v>
      </c>
      <c r="G396" t="s">
        <v>438</v>
      </c>
      <c r="H396" t="s">
        <v>1716</v>
      </c>
    </row>
    <row r="397" spans="6:8" x14ac:dyDescent="0.25">
      <c r="F397" t="s">
        <v>34</v>
      </c>
      <c r="G397" t="s">
        <v>468</v>
      </c>
      <c r="H397" t="s">
        <v>1717</v>
      </c>
    </row>
    <row r="398" spans="6:8" x14ac:dyDescent="0.25">
      <c r="F398" t="s">
        <v>34</v>
      </c>
      <c r="G398" t="s">
        <v>517</v>
      </c>
      <c r="H398" t="s">
        <v>1718</v>
      </c>
    </row>
    <row r="399" spans="6:8" x14ac:dyDescent="0.25">
      <c r="F399" t="s">
        <v>34</v>
      </c>
      <c r="G399" t="s">
        <v>535</v>
      </c>
      <c r="H399" t="s">
        <v>1719</v>
      </c>
    </row>
    <row r="400" spans="6:8" x14ac:dyDescent="0.25">
      <c r="F400" t="s">
        <v>34</v>
      </c>
      <c r="G400" t="s">
        <v>544</v>
      </c>
      <c r="H400" t="s">
        <v>1720</v>
      </c>
    </row>
    <row r="401" spans="6:8" x14ac:dyDescent="0.25">
      <c r="F401" t="s">
        <v>34</v>
      </c>
      <c r="G401" t="s">
        <v>554</v>
      </c>
      <c r="H401" t="s">
        <v>1721</v>
      </c>
    </row>
    <row r="402" spans="6:8" x14ac:dyDescent="0.25">
      <c r="F402" t="s">
        <v>34</v>
      </c>
      <c r="G402" t="s">
        <v>580</v>
      </c>
      <c r="H402" t="s">
        <v>1722</v>
      </c>
    </row>
    <row r="403" spans="6:8" x14ac:dyDescent="0.25">
      <c r="F403" t="s">
        <v>34</v>
      </c>
      <c r="G403" t="s">
        <v>581</v>
      </c>
      <c r="H403" t="s">
        <v>1723</v>
      </c>
    </row>
    <row r="404" spans="6:8" x14ac:dyDescent="0.25">
      <c r="F404" t="s">
        <v>34</v>
      </c>
      <c r="G404" t="s">
        <v>609</v>
      </c>
      <c r="H404" t="s">
        <v>1724</v>
      </c>
    </row>
    <row r="405" spans="6:8" x14ac:dyDescent="0.25">
      <c r="F405" t="s">
        <v>34</v>
      </c>
      <c r="G405" t="s">
        <v>618</v>
      </c>
      <c r="H405" t="s">
        <v>1725</v>
      </c>
    </row>
    <row r="406" spans="6:8" x14ac:dyDescent="0.25">
      <c r="F406" t="s">
        <v>34</v>
      </c>
      <c r="G406" t="s">
        <v>668</v>
      </c>
      <c r="H406" t="s">
        <v>1726</v>
      </c>
    </row>
    <row r="407" spans="6:8" x14ac:dyDescent="0.25">
      <c r="F407" t="s">
        <v>34</v>
      </c>
      <c r="G407" t="s">
        <v>707</v>
      </c>
      <c r="H407" t="s">
        <v>1727</v>
      </c>
    </row>
    <row r="408" spans="6:8" x14ac:dyDescent="0.25">
      <c r="F408" t="s">
        <v>34</v>
      </c>
      <c r="G408" t="s">
        <v>714</v>
      </c>
      <c r="H408" t="s">
        <v>1728</v>
      </c>
    </row>
    <row r="409" spans="6:8" x14ac:dyDescent="0.25">
      <c r="F409" t="s">
        <v>34</v>
      </c>
      <c r="G409" t="s">
        <v>741</v>
      </c>
      <c r="H409" t="s">
        <v>1729</v>
      </c>
    </row>
    <row r="410" spans="6:8" x14ac:dyDescent="0.25">
      <c r="F410" t="s">
        <v>34</v>
      </c>
      <c r="G410" t="s">
        <v>746</v>
      </c>
      <c r="H410" t="s">
        <v>1730</v>
      </c>
    </row>
    <row r="411" spans="6:8" x14ac:dyDescent="0.25">
      <c r="F411" t="s">
        <v>34</v>
      </c>
      <c r="G411" t="s">
        <v>769</v>
      </c>
      <c r="H411" t="s">
        <v>1731</v>
      </c>
    </row>
    <row r="412" spans="6:8" x14ac:dyDescent="0.25">
      <c r="F412" t="s">
        <v>34</v>
      </c>
      <c r="G412" t="s">
        <v>793</v>
      </c>
      <c r="H412" t="s">
        <v>1732</v>
      </c>
    </row>
    <row r="413" spans="6:8" x14ac:dyDescent="0.25">
      <c r="F413" t="s">
        <v>34</v>
      </c>
      <c r="G413" t="s">
        <v>796</v>
      </c>
      <c r="H413" t="s">
        <v>1733</v>
      </c>
    </row>
    <row r="414" spans="6:8" x14ac:dyDescent="0.25">
      <c r="F414" t="s">
        <v>34</v>
      </c>
      <c r="G414" t="s">
        <v>827</v>
      </c>
      <c r="H414" t="s">
        <v>1734</v>
      </c>
    </row>
    <row r="415" spans="6:8" x14ac:dyDescent="0.25">
      <c r="F415" t="s">
        <v>34</v>
      </c>
      <c r="G415" t="s">
        <v>828</v>
      </c>
      <c r="H415" t="s">
        <v>1735</v>
      </c>
    </row>
    <row r="416" spans="6:8" x14ac:dyDescent="0.25">
      <c r="F416" t="s">
        <v>34</v>
      </c>
      <c r="G416" t="s">
        <v>833</v>
      </c>
      <c r="H416" t="s">
        <v>1736</v>
      </c>
    </row>
    <row r="417" spans="6:8" x14ac:dyDescent="0.25">
      <c r="F417" t="s">
        <v>34</v>
      </c>
      <c r="G417" t="s">
        <v>842</v>
      </c>
      <c r="H417" t="s">
        <v>1737</v>
      </c>
    </row>
    <row r="418" spans="6:8" x14ac:dyDescent="0.25">
      <c r="F418" t="s">
        <v>34</v>
      </c>
      <c r="G418" t="s">
        <v>843</v>
      </c>
      <c r="H418" t="s">
        <v>1738</v>
      </c>
    </row>
    <row r="419" spans="6:8" x14ac:dyDescent="0.25">
      <c r="F419" t="s">
        <v>34</v>
      </c>
      <c r="G419" t="s">
        <v>856</v>
      </c>
      <c r="H419" t="s">
        <v>1739</v>
      </c>
    </row>
    <row r="420" spans="6:8" x14ac:dyDescent="0.25">
      <c r="F420" t="s">
        <v>34</v>
      </c>
      <c r="G420" t="s">
        <v>865</v>
      </c>
      <c r="H420" t="s">
        <v>1740</v>
      </c>
    </row>
    <row r="421" spans="6:8" x14ac:dyDescent="0.25">
      <c r="F421" t="s">
        <v>34</v>
      </c>
      <c r="G421" t="s">
        <v>873</v>
      </c>
      <c r="H421" t="s">
        <v>1741</v>
      </c>
    </row>
    <row r="422" spans="6:8" x14ac:dyDescent="0.25">
      <c r="F422" t="s">
        <v>34</v>
      </c>
      <c r="G422" t="s">
        <v>937</v>
      </c>
      <c r="H422" t="s">
        <v>1742</v>
      </c>
    </row>
    <row r="423" spans="6:8" x14ac:dyDescent="0.25">
      <c r="F423" t="s">
        <v>34</v>
      </c>
      <c r="G423" t="s">
        <v>944</v>
      </c>
      <c r="H423" t="s">
        <v>1743</v>
      </c>
    </row>
    <row r="424" spans="6:8" x14ac:dyDescent="0.25">
      <c r="F424" t="s">
        <v>34</v>
      </c>
      <c r="G424" t="s">
        <v>961</v>
      </c>
      <c r="H424" t="s">
        <v>1744</v>
      </c>
    </row>
    <row r="425" spans="6:8" x14ac:dyDescent="0.25">
      <c r="F425" t="s">
        <v>34</v>
      </c>
      <c r="G425" t="s">
        <v>973</v>
      </c>
      <c r="H425" t="s">
        <v>1745</v>
      </c>
    </row>
    <row r="426" spans="6:8" x14ac:dyDescent="0.25">
      <c r="F426" t="s">
        <v>34</v>
      </c>
      <c r="G426" t="s">
        <v>1011</v>
      </c>
      <c r="H426" t="s">
        <v>1746</v>
      </c>
    </row>
    <row r="427" spans="6:8" x14ac:dyDescent="0.25">
      <c r="F427" t="s">
        <v>34</v>
      </c>
      <c r="G427" t="s">
        <v>1021</v>
      </c>
      <c r="H427" t="s">
        <v>1747</v>
      </c>
    </row>
    <row r="428" spans="6:8" x14ac:dyDescent="0.25">
      <c r="F428" t="s">
        <v>34</v>
      </c>
      <c r="G428" t="s">
        <v>1034</v>
      </c>
      <c r="H428" t="s">
        <v>1748</v>
      </c>
    </row>
    <row r="429" spans="6:8" x14ac:dyDescent="0.25">
      <c r="F429" t="s">
        <v>34</v>
      </c>
      <c r="G429" t="s">
        <v>1053</v>
      </c>
      <c r="H429" t="s">
        <v>1749</v>
      </c>
    </row>
    <row r="430" spans="6:8" x14ac:dyDescent="0.25">
      <c r="F430" t="s">
        <v>34</v>
      </c>
      <c r="G430" t="s">
        <v>1056</v>
      </c>
      <c r="H430" t="s">
        <v>1750</v>
      </c>
    </row>
    <row r="431" spans="6:8" x14ac:dyDescent="0.25">
      <c r="F431" t="s">
        <v>34</v>
      </c>
      <c r="G431" t="s">
        <v>1095</v>
      </c>
      <c r="H431" t="s">
        <v>1751</v>
      </c>
    </row>
    <row r="432" spans="6:8" x14ac:dyDescent="0.25">
      <c r="F432" t="s">
        <v>34</v>
      </c>
      <c r="G432" t="s">
        <v>1107</v>
      </c>
      <c r="H432" t="s">
        <v>1752</v>
      </c>
    </row>
    <row r="433" spans="6:8" x14ac:dyDescent="0.25">
      <c r="F433" t="s">
        <v>73</v>
      </c>
      <c r="G433" t="s">
        <v>75</v>
      </c>
      <c r="H433" t="s">
        <v>853</v>
      </c>
    </row>
    <row r="434" spans="6:8" x14ac:dyDescent="0.25">
      <c r="F434" t="s">
        <v>73</v>
      </c>
      <c r="G434" t="s">
        <v>107</v>
      </c>
      <c r="H434" t="s">
        <v>543</v>
      </c>
    </row>
    <row r="435" spans="6:8" x14ac:dyDescent="0.25">
      <c r="F435" t="s">
        <v>73</v>
      </c>
      <c r="G435" t="s">
        <v>110</v>
      </c>
      <c r="H435" t="s">
        <v>894</v>
      </c>
    </row>
    <row r="436" spans="6:8" x14ac:dyDescent="0.25">
      <c r="F436" t="s">
        <v>73</v>
      </c>
      <c r="G436" t="s">
        <v>114</v>
      </c>
      <c r="H436" t="s">
        <v>983</v>
      </c>
    </row>
    <row r="437" spans="6:8" x14ac:dyDescent="0.25">
      <c r="F437" t="s">
        <v>73</v>
      </c>
      <c r="G437" t="s">
        <v>147</v>
      </c>
      <c r="H437" t="s">
        <v>288</v>
      </c>
    </row>
    <row r="438" spans="6:8" x14ac:dyDescent="0.25">
      <c r="F438" t="s">
        <v>73</v>
      </c>
      <c r="G438" t="s">
        <v>159</v>
      </c>
      <c r="H438" t="s">
        <v>451</v>
      </c>
    </row>
    <row r="439" spans="6:8" x14ac:dyDescent="0.25">
      <c r="F439" t="s">
        <v>73</v>
      </c>
      <c r="G439" t="s">
        <v>177</v>
      </c>
      <c r="H439" t="s">
        <v>855</v>
      </c>
    </row>
    <row r="440" spans="6:8" x14ac:dyDescent="0.25">
      <c r="F440" t="s">
        <v>73</v>
      </c>
      <c r="G440" t="s">
        <v>211</v>
      </c>
      <c r="H440" t="s">
        <v>910</v>
      </c>
    </row>
    <row r="441" spans="6:8" x14ac:dyDescent="0.25">
      <c r="F441" t="s">
        <v>73</v>
      </c>
      <c r="G441" t="s">
        <v>251</v>
      </c>
      <c r="H441" t="s">
        <v>160</v>
      </c>
    </row>
    <row r="442" spans="6:8" x14ac:dyDescent="0.25">
      <c r="F442" t="s">
        <v>73</v>
      </c>
      <c r="G442" t="s">
        <v>264</v>
      </c>
      <c r="H442" t="s">
        <v>178</v>
      </c>
    </row>
    <row r="443" spans="6:8" x14ac:dyDescent="0.25">
      <c r="F443" t="s">
        <v>73</v>
      </c>
      <c r="G443" t="s">
        <v>285</v>
      </c>
      <c r="H443" t="s">
        <v>330</v>
      </c>
    </row>
    <row r="444" spans="6:8" x14ac:dyDescent="0.25">
      <c r="F444" t="s">
        <v>73</v>
      </c>
      <c r="G444" t="s">
        <v>315</v>
      </c>
      <c r="H444" t="s">
        <v>410</v>
      </c>
    </row>
    <row r="445" spans="6:8" x14ac:dyDescent="0.25">
      <c r="F445" t="s">
        <v>73</v>
      </c>
      <c r="G445" t="s">
        <v>320</v>
      </c>
      <c r="H445" t="s">
        <v>426</v>
      </c>
    </row>
    <row r="446" spans="6:8" x14ac:dyDescent="0.25">
      <c r="F446" t="s">
        <v>73</v>
      </c>
      <c r="G446" t="s">
        <v>329</v>
      </c>
      <c r="H446" t="s">
        <v>835</v>
      </c>
    </row>
    <row r="447" spans="6:8" x14ac:dyDescent="0.25">
      <c r="F447" t="s">
        <v>73</v>
      </c>
      <c r="G447" t="s">
        <v>336</v>
      </c>
      <c r="H447" t="s">
        <v>884</v>
      </c>
    </row>
    <row r="448" spans="6:8" x14ac:dyDescent="0.25">
      <c r="F448" t="s">
        <v>73</v>
      </c>
      <c r="G448" t="s">
        <v>375</v>
      </c>
      <c r="H448" t="s">
        <v>76</v>
      </c>
    </row>
    <row r="449" spans="6:8" x14ac:dyDescent="0.25">
      <c r="F449" t="s">
        <v>73</v>
      </c>
      <c r="G449" t="s">
        <v>407</v>
      </c>
      <c r="H449" t="s">
        <v>252</v>
      </c>
    </row>
    <row r="450" spans="6:8" x14ac:dyDescent="0.25">
      <c r="F450" t="s">
        <v>73</v>
      </c>
      <c r="G450" t="s">
        <v>409</v>
      </c>
      <c r="H450" t="s">
        <v>420</v>
      </c>
    </row>
    <row r="451" spans="6:8" x14ac:dyDescent="0.25">
      <c r="F451" t="s">
        <v>73</v>
      </c>
      <c r="G451" t="s">
        <v>419</v>
      </c>
      <c r="H451" t="s">
        <v>608</v>
      </c>
    </row>
    <row r="452" spans="6:8" x14ac:dyDescent="0.25">
      <c r="F452" t="s">
        <v>73</v>
      </c>
      <c r="G452" t="s">
        <v>424</v>
      </c>
      <c r="H452" t="s">
        <v>862</v>
      </c>
    </row>
    <row r="453" spans="6:8" x14ac:dyDescent="0.25">
      <c r="F453" t="s">
        <v>73</v>
      </c>
      <c r="G453" t="s">
        <v>425</v>
      </c>
      <c r="H453" t="s">
        <v>1055</v>
      </c>
    </row>
    <row r="454" spans="6:8" x14ac:dyDescent="0.25">
      <c r="F454" t="s">
        <v>73</v>
      </c>
      <c r="G454" t="s">
        <v>449</v>
      </c>
      <c r="H454" t="s">
        <v>108</v>
      </c>
    </row>
    <row r="455" spans="6:8" x14ac:dyDescent="0.25">
      <c r="F455" t="s">
        <v>73</v>
      </c>
      <c r="G455" t="s">
        <v>450</v>
      </c>
      <c r="H455" t="s">
        <v>583</v>
      </c>
    </row>
    <row r="456" spans="6:8" x14ac:dyDescent="0.25">
      <c r="F456" t="s">
        <v>73</v>
      </c>
      <c r="G456" t="s">
        <v>557</v>
      </c>
      <c r="H456" t="s">
        <v>760</v>
      </c>
    </row>
    <row r="457" spans="6:8" x14ac:dyDescent="0.25">
      <c r="F457" t="s">
        <v>73</v>
      </c>
      <c r="G457" t="s">
        <v>567</v>
      </c>
      <c r="H457" t="s">
        <v>337</v>
      </c>
    </row>
    <row r="458" spans="6:8" x14ac:dyDescent="0.25">
      <c r="F458" t="s">
        <v>73</v>
      </c>
      <c r="G458" t="s">
        <v>582</v>
      </c>
      <c r="H458" t="s">
        <v>1074</v>
      </c>
    </row>
    <row r="459" spans="6:8" x14ac:dyDescent="0.25">
      <c r="F459" t="s">
        <v>73</v>
      </c>
      <c r="G459" t="s">
        <v>607</v>
      </c>
      <c r="H459" t="s">
        <v>724</v>
      </c>
    </row>
    <row r="460" spans="6:8" x14ac:dyDescent="0.25">
      <c r="F460" t="s">
        <v>73</v>
      </c>
      <c r="G460" t="s">
        <v>634</v>
      </c>
      <c r="H460" t="s">
        <v>706</v>
      </c>
    </row>
    <row r="461" spans="6:8" x14ac:dyDescent="0.25">
      <c r="F461" t="s">
        <v>73</v>
      </c>
      <c r="G461" t="s">
        <v>694</v>
      </c>
      <c r="H461" t="s">
        <v>111</v>
      </c>
    </row>
    <row r="462" spans="6:8" x14ac:dyDescent="0.25">
      <c r="F462" t="s">
        <v>73</v>
      </c>
      <c r="G462" t="s">
        <v>696</v>
      </c>
      <c r="H462" t="s">
        <v>316</v>
      </c>
    </row>
    <row r="463" spans="6:8" x14ac:dyDescent="0.25">
      <c r="F463" t="s">
        <v>73</v>
      </c>
      <c r="G463" t="s">
        <v>1754</v>
      </c>
      <c r="H463" t="s">
        <v>1753</v>
      </c>
    </row>
    <row r="464" spans="6:8" x14ac:dyDescent="0.25">
      <c r="F464" t="s">
        <v>73</v>
      </c>
      <c r="G464" t="s">
        <v>750</v>
      </c>
      <c r="H464" t="s">
        <v>568</v>
      </c>
    </row>
    <row r="465" spans="6:8" x14ac:dyDescent="0.25">
      <c r="F465" t="s">
        <v>73</v>
      </c>
      <c r="G465" t="s">
        <v>759</v>
      </c>
      <c r="H465" t="s">
        <v>635</v>
      </c>
    </row>
    <row r="466" spans="6:8" x14ac:dyDescent="0.25">
      <c r="F466" t="s">
        <v>73</v>
      </c>
      <c r="G466" t="s">
        <v>791</v>
      </c>
      <c r="H466" t="s">
        <v>697</v>
      </c>
    </row>
    <row r="467" spans="6:8" x14ac:dyDescent="0.25">
      <c r="F467" t="s">
        <v>73</v>
      </c>
      <c r="G467" t="s">
        <v>815</v>
      </c>
      <c r="H467" t="s">
        <v>695</v>
      </c>
    </row>
    <row r="468" spans="6:8" x14ac:dyDescent="0.25">
      <c r="F468" t="s">
        <v>73</v>
      </c>
      <c r="G468" t="s">
        <v>821</v>
      </c>
      <c r="H468" t="s">
        <v>792</v>
      </c>
    </row>
    <row r="469" spans="6:8" x14ac:dyDescent="0.25">
      <c r="F469" t="s">
        <v>73</v>
      </c>
      <c r="G469" t="s">
        <v>834</v>
      </c>
      <c r="H469" t="s">
        <v>846</v>
      </c>
    </row>
    <row r="470" spans="6:8" x14ac:dyDescent="0.25">
      <c r="F470" t="s">
        <v>73</v>
      </c>
      <c r="G470" t="s">
        <v>838</v>
      </c>
      <c r="H470" t="s">
        <v>148</v>
      </c>
    </row>
    <row r="471" spans="6:8" x14ac:dyDescent="0.25">
      <c r="F471" t="s">
        <v>73</v>
      </c>
      <c r="G471" t="s">
        <v>845</v>
      </c>
      <c r="H471" t="s">
        <v>115</v>
      </c>
    </row>
    <row r="472" spans="6:8" x14ac:dyDescent="0.25">
      <c r="F472" t="s">
        <v>73</v>
      </c>
      <c r="G472" t="s">
        <v>1756</v>
      </c>
      <c r="H472" t="s">
        <v>1755</v>
      </c>
    </row>
    <row r="473" spans="6:8" x14ac:dyDescent="0.25">
      <c r="F473" t="s">
        <v>73</v>
      </c>
      <c r="G473" t="s">
        <v>854</v>
      </c>
      <c r="H473" t="s">
        <v>212</v>
      </c>
    </row>
    <row r="474" spans="6:8" x14ac:dyDescent="0.25">
      <c r="F474" t="s">
        <v>73</v>
      </c>
      <c r="G474" t="s">
        <v>861</v>
      </c>
      <c r="H474" t="s">
        <v>242</v>
      </c>
    </row>
    <row r="475" spans="6:8" x14ac:dyDescent="0.25">
      <c r="F475" t="s">
        <v>73</v>
      </c>
      <c r="G475" t="s">
        <v>883</v>
      </c>
      <c r="H475" t="s">
        <v>822</v>
      </c>
    </row>
    <row r="476" spans="6:8" x14ac:dyDescent="0.25">
      <c r="F476" t="s">
        <v>73</v>
      </c>
      <c r="G476" t="s">
        <v>909</v>
      </c>
      <c r="H476" t="s">
        <v>265</v>
      </c>
    </row>
    <row r="477" spans="6:8" x14ac:dyDescent="0.25">
      <c r="F477" t="s">
        <v>73</v>
      </c>
      <c r="G477" t="s">
        <v>1054</v>
      </c>
      <c r="H477" t="s">
        <v>408</v>
      </c>
    </row>
    <row r="478" spans="6:8" x14ac:dyDescent="0.25">
      <c r="F478" t="s">
        <v>73</v>
      </c>
      <c r="G478" t="s">
        <v>1073</v>
      </c>
      <c r="H478" t="s">
        <v>816</v>
      </c>
    </row>
    <row r="479" spans="6:8" x14ac:dyDescent="0.25">
      <c r="F479" t="s">
        <v>73</v>
      </c>
      <c r="G479" t="s">
        <v>1083</v>
      </c>
      <c r="H479" t="s">
        <v>1084</v>
      </c>
    </row>
    <row r="480" spans="6:8" x14ac:dyDescent="0.25">
      <c r="F480" t="s">
        <v>149</v>
      </c>
      <c r="G480" t="s">
        <v>151</v>
      </c>
      <c r="H480" t="s">
        <v>432</v>
      </c>
    </row>
    <row r="481" spans="6:8" x14ac:dyDescent="0.25">
      <c r="F481" t="s">
        <v>149</v>
      </c>
      <c r="G481" t="s">
        <v>190</v>
      </c>
      <c r="H481" t="s">
        <v>303</v>
      </c>
    </row>
    <row r="482" spans="6:8" x14ac:dyDescent="0.25">
      <c r="F482" t="s">
        <v>149</v>
      </c>
      <c r="G482" t="s">
        <v>240</v>
      </c>
      <c r="H482" t="s">
        <v>1106</v>
      </c>
    </row>
    <row r="483" spans="6:8" x14ac:dyDescent="0.25">
      <c r="F483" t="s">
        <v>149</v>
      </c>
      <c r="G483" t="s">
        <v>272</v>
      </c>
      <c r="H483" t="s">
        <v>924</v>
      </c>
    </row>
    <row r="484" spans="6:8" x14ac:dyDescent="0.25">
      <c r="F484" t="s">
        <v>149</v>
      </c>
      <c r="G484" t="s">
        <v>302</v>
      </c>
      <c r="H484" t="s">
        <v>152</v>
      </c>
    </row>
    <row r="485" spans="6:8" x14ac:dyDescent="0.25">
      <c r="F485" t="s">
        <v>149</v>
      </c>
      <c r="G485" t="s">
        <v>369</v>
      </c>
      <c r="H485" t="s">
        <v>487</v>
      </c>
    </row>
    <row r="486" spans="6:8" x14ac:dyDescent="0.25">
      <c r="F486" t="s">
        <v>149</v>
      </c>
      <c r="G486" t="s">
        <v>403</v>
      </c>
      <c r="H486" t="s">
        <v>633</v>
      </c>
    </row>
    <row r="487" spans="6:8" x14ac:dyDescent="0.25">
      <c r="F487" t="s">
        <v>149</v>
      </c>
      <c r="G487" t="s">
        <v>431</v>
      </c>
      <c r="H487" t="s">
        <v>851</v>
      </c>
    </row>
    <row r="488" spans="6:8" x14ac:dyDescent="0.25">
      <c r="F488" t="s">
        <v>149</v>
      </c>
      <c r="G488" t="s">
        <v>486</v>
      </c>
      <c r="H488" t="s">
        <v>273</v>
      </c>
    </row>
    <row r="489" spans="6:8" x14ac:dyDescent="0.25">
      <c r="F489" t="s">
        <v>149</v>
      </c>
      <c r="G489" t="s">
        <v>632</v>
      </c>
      <c r="H489" t="s">
        <v>1061</v>
      </c>
    </row>
    <row r="490" spans="6:8" x14ac:dyDescent="0.25">
      <c r="F490" t="s">
        <v>149</v>
      </c>
      <c r="G490" t="s">
        <v>644</v>
      </c>
      <c r="H490" t="s">
        <v>370</v>
      </c>
    </row>
    <row r="491" spans="6:8" x14ac:dyDescent="0.25">
      <c r="F491" t="s">
        <v>149</v>
      </c>
      <c r="G491" t="s">
        <v>850</v>
      </c>
      <c r="H491" t="s">
        <v>241</v>
      </c>
    </row>
    <row r="492" spans="6:8" x14ac:dyDescent="0.25">
      <c r="F492" t="s">
        <v>149</v>
      </c>
      <c r="G492" t="s">
        <v>923</v>
      </c>
      <c r="H492" t="s">
        <v>1076</v>
      </c>
    </row>
    <row r="493" spans="6:8" x14ac:dyDescent="0.25">
      <c r="F493" t="s">
        <v>149</v>
      </c>
      <c r="G493" t="s">
        <v>998</v>
      </c>
      <c r="H493" t="s">
        <v>1069</v>
      </c>
    </row>
    <row r="494" spans="6:8" x14ac:dyDescent="0.25">
      <c r="F494" t="s">
        <v>149</v>
      </c>
      <c r="G494" t="s">
        <v>1060</v>
      </c>
      <c r="H494" t="s">
        <v>645</v>
      </c>
    </row>
    <row r="495" spans="6:8" x14ac:dyDescent="0.25">
      <c r="F495" t="s">
        <v>149</v>
      </c>
      <c r="G495" t="s">
        <v>1068</v>
      </c>
      <c r="H495" t="s">
        <v>191</v>
      </c>
    </row>
    <row r="496" spans="6:8" x14ac:dyDescent="0.25">
      <c r="F496" t="s">
        <v>149</v>
      </c>
      <c r="G496" t="s">
        <v>1075</v>
      </c>
      <c r="H496" t="s">
        <v>999</v>
      </c>
    </row>
    <row r="497" spans="6:8" x14ac:dyDescent="0.25">
      <c r="F497" t="s">
        <v>149</v>
      </c>
      <c r="G497" t="s">
        <v>1105</v>
      </c>
      <c r="H497" t="s">
        <v>404</v>
      </c>
    </row>
    <row r="498" spans="6:8" x14ac:dyDescent="0.25">
      <c r="F498" t="s">
        <v>26</v>
      </c>
      <c r="G498" t="s">
        <v>28</v>
      </c>
      <c r="H498" t="s">
        <v>566</v>
      </c>
    </row>
    <row r="499" spans="6:8" x14ac:dyDescent="0.25">
      <c r="F499" t="s">
        <v>26</v>
      </c>
      <c r="G499" t="s">
        <v>35</v>
      </c>
      <c r="H499" t="s">
        <v>586</v>
      </c>
    </row>
    <row r="500" spans="6:8" x14ac:dyDescent="0.25">
      <c r="F500" t="s">
        <v>26</v>
      </c>
      <c r="G500" t="s">
        <v>57</v>
      </c>
      <c r="H500" t="s">
        <v>673</v>
      </c>
    </row>
    <row r="501" spans="6:8" x14ac:dyDescent="0.25">
      <c r="F501" t="s">
        <v>26</v>
      </c>
      <c r="G501" t="s">
        <v>64</v>
      </c>
      <c r="H501" t="s">
        <v>869</v>
      </c>
    </row>
    <row r="502" spans="6:8" x14ac:dyDescent="0.25">
      <c r="F502" t="s">
        <v>26</v>
      </c>
      <c r="G502" t="s">
        <v>94</v>
      </c>
      <c r="H502" t="s">
        <v>978</v>
      </c>
    </row>
    <row r="503" spans="6:8" x14ac:dyDescent="0.25">
      <c r="F503" t="s">
        <v>26</v>
      </c>
      <c r="G503" t="s">
        <v>96</v>
      </c>
      <c r="H503" t="s">
        <v>982</v>
      </c>
    </row>
    <row r="504" spans="6:8" x14ac:dyDescent="0.25">
      <c r="F504" t="s">
        <v>26</v>
      </c>
      <c r="G504" t="s">
        <v>102</v>
      </c>
      <c r="H504" t="s">
        <v>36</v>
      </c>
    </row>
    <row r="505" spans="6:8" x14ac:dyDescent="0.25">
      <c r="F505" t="s">
        <v>26</v>
      </c>
      <c r="G505" t="s">
        <v>116</v>
      </c>
      <c r="H505" t="s">
        <v>323</v>
      </c>
    </row>
    <row r="506" spans="6:8" x14ac:dyDescent="0.25">
      <c r="F506" t="s">
        <v>26</v>
      </c>
      <c r="G506" t="s">
        <v>133</v>
      </c>
      <c r="H506" t="s">
        <v>511</v>
      </c>
    </row>
    <row r="507" spans="6:8" x14ac:dyDescent="0.25">
      <c r="F507" t="s">
        <v>26</v>
      </c>
      <c r="G507" t="s">
        <v>140</v>
      </c>
      <c r="H507" t="s">
        <v>629</v>
      </c>
    </row>
    <row r="508" spans="6:8" x14ac:dyDescent="0.25">
      <c r="F508" t="s">
        <v>26</v>
      </c>
      <c r="G508" t="s">
        <v>169</v>
      </c>
      <c r="H508" t="s">
        <v>1014</v>
      </c>
    </row>
    <row r="509" spans="6:8" x14ac:dyDescent="0.25">
      <c r="F509" t="s">
        <v>26</v>
      </c>
      <c r="G509" t="s">
        <v>182</v>
      </c>
      <c r="H509" t="s">
        <v>58</v>
      </c>
    </row>
    <row r="510" spans="6:8" x14ac:dyDescent="0.25">
      <c r="F510" t="s">
        <v>26</v>
      </c>
      <c r="G510" t="s">
        <v>266</v>
      </c>
      <c r="H510" t="s">
        <v>442</v>
      </c>
    </row>
    <row r="511" spans="6:8" x14ac:dyDescent="0.25">
      <c r="F511" t="s">
        <v>26</v>
      </c>
      <c r="G511" t="s">
        <v>322</v>
      </c>
      <c r="H511" t="s">
        <v>491</v>
      </c>
    </row>
    <row r="512" spans="6:8" x14ac:dyDescent="0.25">
      <c r="F512" t="s">
        <v>26</v>
      </c>
      <c r="G512" t="s">
        <v>1758</v>
      </c>
      <c r="H512" t="s">
        <v>1757</v>
      </c>
    </row>
    <row r="513" spans="6:8" x14ac:dyDescent="0.25">
      <c r="F513" t="s">
        <v>26</v>
      </c>
      <c r="G513" t="s">
        <v>436</v>
      </c>
      <c r="H513" t="s">
        <v>971</v>
      </c>
    </row>
    <row r="514" spans="6:8" x14ac:dyDescent="0.25">
      <c r="F514" t="s">
        <v>26</v>
      </c>
      <c r="G514" t="s">
        <v>441</v>
      </c>
      <c r="H514" t="s">
        <v>1088</v>
      </c>
    </row>
    <row r="515" spans="6:8" x14ac:dyDescent="0.25">
      <c r="F515" t="s">
        <v>26</v>
      </c>
      <c r="G515" t="s">
        <v>444</v>
      </c>
      <c r="H515" t="s">
        <v>1086</v>
      </c>
    </row>
    <row r="516" spans="6:8" x14ac:dyDescent="0.25">
      <c r="F516" t="s">
        <v>26</v>
      </c>
      <c r="G516" t="s">
        <v>466</v>
      </c>
      <c r="H516" t="s">
        <v>858</v>
      </c>
    </row>
    <row r="517" spans="6:8" x14ac:dyDescent="0.25">
      <c r="F517" t="s">
        <v>26</v>
      </c>
      <c r="G517" t="s">
        <v>471</v>
      </c>
      <c r="H517" t="s">
        <v>860</v>
      </c>
    </row>
    <row r="518" spans="6:8" x14ac:dyDescent="0.25">
      <c r="F518" t="s">
        <v>26</v>
      </c>
      <c r="G518" t="s">
        <v>478</v>
      </c>
      <c r="H518" t="s">
        <v>626</v>
      </c>
    </row>
    <row r="519" spans="6:8" x14ac:dyDescent="0.25">
      <c r="F519" t="s">
        <v>26</v>
      </c>
      <c r="G519" t="s">
        <v>490</v>
      </c>
      <c r="H519" t="s">
        <v>183</v>
      </c>
    </row>
    <row r="520" spans="6:8" x14ac:dyDescent="0.25">
      <c r="F520" t="s">
        <v>26</v>
      </c>
      <c r="G520" t="s">
        <v>510</v>
      </c>
      <c r="H520" t="s">
        <v>95</v>
      </c>
    </row>
    <row r="521" spans="6:8" x14ac:dyDescent="0.25">
      <c r="F521" t="s">
        <v>26</v>
      </c>
      <c r="G521" t="s">
        <v>526</v>
      </c>
      <c r="H521" t="s">
        <v>170</v>
      </c>
    </row>
    <row r="522" spans="6:8" x14ac:dyDescent="0.25">
      <c r="F522" t="s">
        <v>26</v>
      </c>
      <c r="G522" t="s">
        <v>1760</v>
      </c>
      <c r="H522" t="s">
        <v>1759</v>
      </c>
    </row>
    <row r="523" spans="6:8" x14ac:dyDescent="0.25">
      <c r="F523" t="s">
        <v>26</v>
      </c>
      <c r="G523" t="s">
        <v>533</v>
      </c>
      <c r="H523" t="s">
        <v>864</v>
      </c>
    </row>
    <row r="524" spans="6:8" x14ac:dyDescent="0.25">
      <c r="F524" t="s">
        <v>26</v>
      </c>
      <c r="G524" t="s">
        <v>1761</v>
      </c>
      <c r="H524" t="s">
        <v>1078</v>
      </c>
    </row>
    <row r="525" spans="6:8" x14ac:dyDescent="0.25">
      <c r="F525" t="s">
        <v>26</v>
      </c>
      <c r="G525" t="s">
        <v>585</v>
      </c>
      <c r="H525" t="s">
        <v>65</v>
      </c>
    </row>
    <row r="526" spans="6:8" x14ac:dyDescent="0.25">
      <c r="F526" t="s">
        <v>26</v>
      </c>
      <c r="G526" t="s">
        <v>621</v>
      </c>
      <c r="H526" t="s">
        <v>103</v>
      </c>
    </row>
    <row r="527" spans="6:8" x14ac:dyDescent="0.25">
      <c r="F527" t="s">
        <v>26</v>
      </c>
      <c r="G527" t="s">
        <v>625</v>
      </c>
      <c r="H527" t="s">
        <v>141</v>
      </c>
    </row>
    <row r="528" spans="6:8" x14ac:dyDescent="0.25">
      <c r="F528" t="s">
        <v>26</v>
      </c>
      <c r="G528" t="s">
        <v>642</v>
      </c>
      <c r="H528" t="s">
        <v>472</v>
      </c>
    </row>
    <row r="529" spans="6:8" x14ac:dyDescent="0.25">
      <c r="F529" t="s">
        <v>26</v>
      </c>
      <c r="G529" t="s">
        <v>672</v>
      </c>
      <c r="H529" t="s">
        <v>783</v>
      </c>
    </row>
    <row r="530" spans="6:8" x14ac:dyDescent="0.25">
      <c r="F530" t="s">
        <v>26</v>
      </c>
      <c r="G530" t="s">
        <v>674</v>
      </c>
      <c r="H530" t="s">
        <v>117</v>
      </c>
    </row>
    <row r="531" spans="6:8" x14ac:dyDescent="0.25">
      <c r="F531" t="s">
        <v>26</v>
      </c>
      <c r="G531" t="s">
        <v>686</v>
      </c>
      <c r="H531" t="s">
        <v>467</v>
      </c>
    </row>
    <row r="532" spans="6:8" x14ac:dyDescent="0.25">
      <c r="F532" t="s">
        <v>26</v>
      </c>
      <c r="G532" t="s">
        <v>693</v>
      </c>
      <c r="H532" t="s">
        <v>134</v>
      </c>
    </row>
    <row r="533" spans="6:8" x14ac:dyDescent="0.25">
      <c r="F533" t="s">
        <v>26</v>
      </c>
      <c r="G533" t="s">
        <v>777</v>
      </c>
      <c r="H533" t="s">
        <v>267</v>
      </c>
    </row>
    <row r="534" spans="6:8" x14ac:dyDescent="0.25">
      <c r="F534" t="s">
        <v>26</v>
      </c>
      <c r="G534" t="s">
        <v>782</v>
      </c>
      <c r="H534" t="s">
        <v>676</v>
      </c>
    </row>
    <row r="535" spans="6:8" x14ac:dyDescent="0.25">
      <c r="F535" t="s">
        <v>26</v>
      </c>
      <c r="G535" t="s">
        <v>824</v>
      </c>
      <c r="H535" t="s">
        <v>437</v>
      </c>
    </row>
    <row r="536" spans="6:8" x14ac:dyDescent="0.25">
      <c r="F536" t="s">
        <v>26</v>
      </c>
      <c r="G536" t="s">
        <v>839</v>
      </c>
      <c r="H536" t="s">
        <v>534</v>
      </c>
    </row>
    <row r="537" spans="6:8" x14ac:dyDescent="0.25">
      <c r="F537" t="s">
        <v>26</v>
      </c>
      <c r="G537" t="s">
        <v>857</v>
      </c>
      <c r="H537" t="s">
        <v>527</v>
      </c>
    </row>
    <row r="538" spans="6:8" x14ac:dyDescent="0.25">
      <c r="F538" t="s">
        <v>26</v>
      </c>
      <c r="G538" t="s">
        <v>859</v>
      </c>
      <c r="H538" t="s">
        <v>687</v>
      </c>
    </row>
    <row r="539" spans="6:8" x14ac:dyDescent="0.25">
      <c r="F539" t="s">
        <v>26</v>
      </c>
      <c r="G539" t="s">
        <v>863</v>
      </c>
      <c r="H539" t="s">
        <v>825</v>
      </c>
    </row>
    <row r="540" spans="6:8" x14ac:dyDescent="0.25">
      <c r="F540" t="s">
        <v>26</v>
      </c>
      <c r="G540" t="s">
        <v>868</v>
      </c>
      <c r="H540" t="s">
        <v>479</v>
      </c>
    </row>
    <row r="541" spans="6:8" x14ac:dyDescent="0.25">
      <c r="F541" t="s">
        <v>26</v>
      </c>
      <c r="G541" t="s">
        <v>918</v>
      </c>
      <c r="H541" t="s">
        <v>29</v>
      </c>
    </row>
    <row r="542" spans="6:8" x14ac:dyDescent="0.25">
      <c r="F542" t="s">
        <v>26</v>
      </c>
      <c r="G542" t="s">
        <v>970</v>
      </c>
      <c r="H542" t="s">
        <v>97</v>
      </c>
    </row>
    <row r="543" spans="6:8" x14ac:dyDescent="0.25">
      <c r="F543" t="s">
        <v>26</v>
      </c>
      <c r="G543" t="s">
        <v>975</v>
      </c>
      <c r="H543" t="s">
        <v>778</v>
      </c>
    </row>
    <row r="544" spans="6:8" x14ac:dyDescent="0.25">
      <c r="F544" t="s">
        <v>26</v>
      </c>
      <c r="G544" t="s">
        <v>977</v>
      </c>
      <c r="H544" t="s">
        <v>919</v>
      </c>
    </row>
    <row r="545" spans="6:8" x14ac:dyDescent="0.25">
      <c r="F545" t="s">
        <v>26</v>
      </c>
      <c r="G545" t="s">
        <v>981</v>
      </c>
      <c r="H545" t="s">
        <v>1013</v>
      </c>
    </row>
    <row r="546" spans="6:8" x14ac:dyDescent="0.25">
      <c r="F546" t="s">
        <v>26</v>
      </c>
      <c r="G546" t="s">
        <v>1012</v>
      </c>
      <c r="H546" t="s">
        <v>622</v>
      </c>
    </row>
    <row r="547" spans="6:8" x14ac:dyDescent="0.25">
      <c r="F547" t="s">
        <v>26</v>
      </c>
      <c r="G547" t="s">
        <v>1077</v>
      </c>
      <c r="H547" t="s">
        <v>840</v>
      </c>
    </row>
    <row r="548" spans="6:8" x14ac:dyDescent="0.25">
      <c r="F548" t="s">
        <v>26</v>
      </c>
      <c r="G548" t="s">
        <v>1085</v>
      </c>
      <c r="H548" t="s">
        <v>976</v>
      </c>
    </row>
    <row r="549" spans="6:8" x14ac:dyDescent="0.25">
      <c r="F549" t="s">
        <v>26</v>
      </c>
      <c r="G549" t="s">
        <v>1087</v>
      </c>
      <c r="H549" t="s">
        <v>1762</v>
      </c>
    </row>
    <row r="550" spans="6:8" x14ac:dyDescent="0.25">
      <c r="F550" t="s">
        <v>41</v>
      </c>
      <c r="G550" t="s">
        <v>43</v>
      </c>
      <c r="H550" t="s">
        <v>537</v>
      </c>
    </row>
    <row r="551" spans="6:8" x14ac:dyDescent="0.25">
      <c r="F551" t="s">
        <v>41</v>
      </c>
      <c r="G551" t="s">
        <v>47</v>
      </c>
      <c r="H551" t="s">
        <v>85</v>
      </c>
    </row>
    <row r="552" spans="6:8" x14ac:dyDescent="0.25">
      <c r="F552" t="s">
        <v>41</v>
      </c>
      <c r="G552" t="s">
        <v>81</v>
      </c>
      <c r="H552" t="s">
        <v>729</v>
      </c>
    </row>
    <row r="553" spans="6:8" x14ac:dyDescent="0.25">
      <c r="F553" t="s">
        <v>41</v>
      </c>
      <c r="G553" t="s">
        <v>83</v>
      </c>
      <c r="H553" t="s">
        <v>353</v>
      </c>
    </row>
    <row r="554" spans="6:8" x14ac:dyDescent="0.25">
      <c r="F554" t="s">
        <v>41</v>
      </c>
      <c r="G554" t="s">
        <v>1763</v>
      </c>
      <c r="H554" t="s">
        <v>1026</v>
      </c>
    </row>
    <row r="555" spans="6:8" x14ac:dyDescent="0.25">
      <c r="F555" t="s">
        <v>41</v>
      </c>
      <c r="G555" t="s">
        <v>89</v>
      </c>
      <c r="H555" t="s">
        <v>661</v>
      </c>
    </row>
    <row r="556" spans="6:8" x14ac:dyDescent="0.25">
      <c r="F556" t="s">
        <v>41</v>
      </c>
      <c r="G556" t="s">
        <v>98</v>
      </c>
      <c r="H556" t="s">
        <v>301</v>
      </c>
    </row>
    <row r="557" spans="6:8" x14ac:dyDescent="0.25">
      <c r="F557" t="s">
        <v>41</v>
      </c>
      <c r="G557" t="s">
        <v>142</v>
      </c>
      <c r="H557" t="s">
        <v>716</v>
      </c>
    </row>
    <row r="558" spans="6:8" x14ac:dyDescent="0.25">
      <c r="F558" t="s">
        <v>41</v>
      </c>
      <c r="G558" t="s">
        <v>153</v>
      </c>
      <c r="H558" t="s">
        <v>814</v>
      </c>
    </row>
    <row r="559" spans="6:8" x14ac:dyDescent="0.25">
      <c r="F559" t="s">
        <v>41</v>
      </c>
      <c r="G559" t="s">
        <v>157</v>
      </c>
      <c r="H559" t="s">
        <v>477</v>
      </c>
    </row>
    <row r="560" spans="6:8" x14ac:dyDescent="0.25">
      <c r="F560" t="s">
        <v>41</v>
      </c>
      <c r="G560" t="s">
        <v>155</v>
      </c>
      <c r="H560" t="s">
        <v>1030</v>
      </c>
    </row>
    <row r="561" spans="6:8" x14ac:dyDescent="0.25">
      <c r="F561" t="s">
        <v>41</v>
      </c>
      <c r="G561" t="s">
        <v>248</v>
      </c>
      <c r="H561" t="s">
        <v>1028</v>
      </c>
    </row>
    <row r="562" spans="6:8" x14ac:dyDescent="0.25">
      <c r="F562" t="s">
        <v>41</v>
      </c>
      <c r="G562" t="s">
        <v>1765</v>
      </c>
      <c r="H562" t="s">
        <v>1764</v>
      </c>
    </row>
    <row r="563" spans="6:8" x14ac:dyDescent="0.25">
      <c r="F563" t="s">
        <v>41</v>
      </c>
      <c r="G563" t="s">
        <v>1766</v>
      </c>
      <c r="H563" t="s">
        <v>386</v>
      </c>
    </row>
    <row r="564" spans="6:8" x14ac:dyDescent="0.25">
      <c r="F564" t="s">
        <v>41</v>
      </c>
      <c r="G564" t="s">
        <v>321</v>
      </c>
      <c r="H564" t="s">
        <v>249</v>
      </c>
    </row>
    <row r="565" spans="6:8" x14ac:dyDescent="0.25">
      <c r="F565" t="s">
        <v>41</v>
      </c>
      <c r="G565" t="s">
        <v>350</v>
      </c>
      <c r="H565" t="s">
        <v>1052</v>
      </c>
    </row>
    <row r="566" spans="6:8" x14ac:dyDescent="0.25">
      <c r="F566" t="s">
        <v>41</v>
      </c>
      <c r="G566" t="s">
        <v>352</v>
      </c>
      <c r="H566" t="s">
        <v>516</v>
      </c>
    </row>
    <row r="567" spans="6:8" x14ac:dyDescent="0.25">
      <c r="F567" t="s">
        <v>41</v>
      </c>
      <c r="G567" t="s">
        <v>354</v>
      </c>
      <c r="H567" t="s">
        <v>659</v>
      </c>
    </row>
    <row r="568" spans="6:8" x14ac:dyDescent="0.25">
      <c r="F568" t="s">
        <v>41</v>
      </c>
      <c r="G568" t="s">
        <v>368</v>
      </c>
      <c r="H568" t="s">
        <v>1059</v>
      </c>
    </row>
    <row r="569" spans="6:8" x14ac:dyDescent="0.25">
      <c r="F569" t="s">
        <v>41</v>
      </c>
      <c r="G569" t="s">
        <v>384</v>
      </c>
      <c r="H569" t="s">
        <v>44</v>
      </c>
    </row>
    <row r="570" spans="6:8" x14ac:dyDescent="0.25">
      <c r="F570" t="s">
        <v>41</v>
      </c>
      <c r="G570" t="s">
        <v>385</v>
      </c>
      <c r="H570" t="s">
        <v>989</v>
      </c>
    </row>
    <row r="571" spans="6:8" x14ac:dyDescent="0.25">
      <c r="F571" t="s">
        <v>41</v>
      </c>
      <c r="G571" t="s">
        <v>394</v>
      </c>
      <c r="H571" t="s">
        <v>1104</v>
      </c>
    </row>
    <row r="572" spans="6:8" x14ac:dyDescent="0.25">
      <c r="F572" t="s">
        <v>41</v>
      </c>
      <c r="G572" t="s">
        <v>415</v>
      </c>
      <c r="H572" t="s">
        <v>1063</v>
      </c>
    </row>
    <row r="573" spans="6:8" x14ac:dyDescent="0.25">
      <c r="F573" t="s">
        <v>41</v>
      </c>
      <c r="G573" t="s">
        <v>423</v>
      </c>
      <c r="H573" t="s">
        <v>1072</v>
      </c>
    </row>
    <row r="574" spans="6:8" x14ac:dyDescent="0.25">
      <c r="F574" t="s">
        <v>41</v>
      </c>
      <c r="G574" t="s">
        <v>427</v>
      </c>
      <c r="H574" t="s">
        <v>790</v>
      </c>
    </row>
    <row r="575" spans="6:8" x14ac:dyDescent="0.25">
      <c r="F575" t="s">
        <v>41</v>
      </c>
      <c r="G575" t="s">
        <v>429</v>
      </c>
      <c r="H575" t="s">
        <v>852</v>
      </c>
    </row>
    <row r="576" spans="6:8" x14ac:dyDescent="0.25">
      <c r="F576" t="s">
        <v>41</v>
      </c>
      <c r="G576" t="s">
        <v>447</v>
      </c>
      <c r="H576" t="s">
        <v>721</v>
      </c>
    </row>
    <row r="577" spans="6:8" x14ac:dyDescent="0.25">
      <c r="F577" t="s">
        <v>41</v>
      </c>
      <c r="G577" t="s">
        <v>454</v>
      </c>
      <c r="H577" t="s">
        <v>351</v>
      </c>
    </row>
    <row r="578" spans="6:8" x14ac:dyDescent="0.25">
      <c r="F578" t="s">
        <v>41</v>
      </c>
      <c r="G578" t="s">
        <v>461</v>
      </c>
      <c r="H578" t="s">
        <v>395</v>
      </c>
    </row>
    <row r="579" spans="6:8" x14ac:dyDescent="0.25">
      <c r="F579" t="s">
        <v>41</v>
      </c>
      <c r="G579" t="s">
        <v>464</v>
      </c>
      <c r="H579" t="s">
        <v>934</v>
      </c>
    </row>
    <row r="580" spans="6:8" x14ac:dyDescent="0.25">
      <c r="F580" t="s">
        <v>41</v>
      </c>
      <c r="G580" t="s">
        <v>476</v>
      </c>
      <c r="H580" t="s">
        <v>99</v>
      </c>
    </row>
    <row r="581" spans="6:8" x14ac:dyDescent="0.25">
      <c r="F581" t="s">
        <v>41</v>
      </c>
      <c r="G581" t="s">
        <v>506</v>
      </c>
      <c r="H581" t="s">
        <v>250</v>
      </c>
    </row>
    <row r="582" spans="6:8" x14ac:dyDescent="0.25">
      <c r="F582" t="s">
        <v>41</v>
      </c>
      <c r="G582" t="s">
        <v>515</v>
      </c>
      <c r="H582" t="s">
        <v>823</v>
      </c>
    </row>
    <row r="583" spans="6:8" x14ac:dyDescent="0.25">
      <c r="F583" t="s">
        <v>41</v>
      </c>
      <c r="G583" t="s">
        <v>536</v>
      </c>
      <c r="H583" t="s">
        <v>606</v>
      </c>
    </row>
    <row r="584" spans="6:8" x14ac:dyDescent="0.25">
      <c r="F584" t="s">
        <v>41</v>
      </c>
      <c r="G584" t="s">
        <v>598</v>
      </c>
      <c r="H584" t="s">
        <v>462</v>
      </c>
    </row>
    <row r="585" spans="6:8" x14ac:dyDescent="0.25">
      <c r="F585" t="s">
        <v>41</v>
      </c>
      <c r="G585" t="s">
        <v>616</v>
      </c>
      <c r="H585" t="s">
        <v>507</v>
      </c>
    </row>
    <row r="586" spans="6:8" x14ac:dyDescent="0.25">
      <c r="F586" t="s">
        <v>41</v>
      </c>
      <c r="G586" t="s">
        <v>1767</v>
      </c>
      <c r="H586" t="s">
        <v>1067</v>
      </c>
    </row>
    <row r="587" spans="6:8" x14ac:dyDescent="0.25">
      <c r="F587" t="s">
        <v>41</v>
      </c>
      <c r="G587" t="s">
        <v>658</v>
      </c>
      <c r="H587" t="s">
        <v>908</v>
      </c>
    </row>
    <row r="588" spans="6:8" x14ac:dyDescent="0.25">
      <c r="F588" t="s">
        <v>41</v>
      </c>
      <c r="G588" t="s">
        <v>660</v>
      </c>
      <c r="H588" t="s">
        <v>154</v>
      </c>
    </row>
    <row r="589" spans="6:8" x14ac:dyDescent="0.25">
      <c r="F589" t="s">
        <v>41</v>
      </c>
      <c r="G589" t="s">
        <v>683</v>
      </c>
      <c r="H589" t="s">
        <v>48</v>
      </c>
    </row>
    <row r="590" spans="6:8" x14ac:dyDescent="0.25">
      <c r="F590" t="s">
        <v>41</v>
      </c>
      <c r="G590" t="s">
        <v>715</v>
      </c>
      <c r="H590" t="s">
        <v>143</v>
      </c>
    </row>
    <row r="591" spans="6:8" x14ac:dyDescent="0.25">
      <c r="F591" t="s">
        <v>41</v>
      </c>
      <c r="G591" t="s">
        <v>720</v>
      </c>
      <c r="H591" t="s">
        <v>617</v>
      </c>
    </row>
    <row r="592" spans="6:8" x14ac:dyDescent="0.25">
      <c r="F592" t="s">
        <v>41</v>
      </c>
      <c r="G592" t="s">
        <v>728</v>
      </c>
      <c r="H592" t="s">
        <v>965</v>
      </c>
    </row>
    <row r="593" spans="6:8" x14ac:dyDescent="0.25">
      <c r="F593" t="s">
        <v>41</v>
      </c>
      <c r="G593" t="s">
        <v>1769</v>
      </c>
      <c r="H593" t="s">
        <v>1768</v>
      </c>
    </row>
    <row r="594" spans="6:8" x14ac:dyDescent="0.25">
      <c r="F594" t="s">
        <v>41</v>
      </c>
      <c r="G594" t="s">
        <v>742</v>
      </c>
      <c r="H594" t="s">
        <v>355</v>
      </c>
    </row>
    <row r="595" spans="6:8" x14ac:dyDescent="0.25">
      <c r="F595" t="s">
        <v>41</v>
      </c>
      <c r="G595" t="s">
        <v>774</v>
      </c>
      <c r="H595" t="s">
        <v>465</v>
      </c>
    </row>
    <row r="596" spans="6:8" x14ac:dyDescent="0.25">
      <c r="F596" t="s">
        <v>41</v>
      </c>
      <c r="G596" t="s">
        <v>789</v>
      </c>
      <c r="H596" t="s">
        <v>428</v>
      </c>
    </row>
    <row r="597" spans="6:8" x14ac:dyDescent="0.25">
      <c r="F597" t="s">
        <v>41</v>
      </c>
      <c r="G597" t="s">
        <v>794</v>
      </c>
      <c r="H597" t="s">
        <v>967</v>
      </c>
    </row>
    <row r="598" spans="6:8" x14ac:dyDescent="0.25">
      <c r="F598" t="s">
        <v>41</v>
      </c>
      <c r="G598" t="s">
        <v>807</v>
      </c>
      <c r="H598" t="s">
        <v>84</v>
      </c>
    </row>
    <row r="599" spans="6:8" x14ac:dyDescent="0.25">
      <c r="F599" t="s">
        <v>41</v>
      </c>
      <c r="G599" t="s">
        <v>813</v>
      </c>
      <c r="H599" t="s">
        <v>82</v>
      </c>
    </row>
    <row r="600" spans="6:8" x14ac:dyDescent="0.25">
      <c r="F600" t="s">
        <v>41</v>
      </c>
      <c r="G600" t="s">
        <v>826</v>
      </c>
      <c r="H600" t="s">
        <v>795</v>
      </c>
    </row>
    <row r="601" spans="6:8" x14ac:dyDescent="0.25">
      <c r="F601" t="s">
        <v>41</v>
      </c>
      <c r="G601" t="s">
        <v>850</v>
      </c>
      <c r="H601" t="s">
        <v>416</v>
      </c>
    </row>
    <row r="602" spans="6:8" x14ac:dyDescent="0.25">
      <c r="F602" t="s">
        <v>41</v>
      </c>
      <c r="G602" t="s">
        <v>907</v>
      </c>
      <c r="H602" t="s">
        <v>455</v>
      </c>
    </row>
    <row r="603" spans="6:8" x14ac:dyDescent="0.25">
      <c r="F603" t="s">
        <v>41</v>
      </c>
      <c r="G603" t="s">
        <v>933</v>
      </c>
      <c r="H603" t="s">
        <v>1010</v>
      </c>
    </row>
    <row r="604" spans="6:8" x14ac:dyDescent="0.25">
      <c r="F604" t="s">
        <v>41</v>
      </c>
      <c r="G604" t="s">
        <v>966</v>
      </c>
      <c r="H604" t="s">
        <v>156</v>
      </c>
    </row>
    <row r="605" spans="6:8" x14ac:dyDescent="0.25">
      <c r="F605" t="s">
        <v>41</v>
      </c>
      <c r="G605" t="s">
        <v>964</v>
      </c>
      <c r="H605" t="s">
        <v>1040</v>
      </c>
    </row>
    <row r="606" spans="6:8" x14ac:dyDescent="0.25">
      <c r="F606" t="s">
        <v>41</v>
      </c>
      <c r="G606" t="s">
        <v>987</v>
      </c>
      <c r="H606" t="s">
        <v>448</v>
      </c>
    </row>
    <row r="607" spans="6:8" x14ac:dyDescent="0.25">
      <c r="F607" t="s">
        <v>41</v>
      </c>
      <c r="G607" t="s">
        <v>1002</v>
      </c>
      <c r="H607" t="s">
        <v>80</v>
      </c>
    </row>
    <row r="608" spans="6:8" x14ac:dyDescent="0.25">
      <c r="F608" t="s">
        <v>41</v>
      </c>
      <c r="G608" t="s">
        <v>1025</v>
      </c>
      <c r="H608" t="s">
        <v>1044</v>
      </c>
    </row>
    <row r="609" spans="6:8" x14ac:dyDescent="0.25">
      <c r="F609" t="s">
        <v>41</v>
      </c>
      <c r="G609" t="s">
        <v>1027</v>
      </c>
      <c r="H609" t="s">
        <v>743</v>
      </c>
    </row>
    <row r="610" spans="6:8" x14ac:dyDescent="0.25">
      <c r="F610" t="s">
        <v>41</v>
      </c>
      <c r="G610" t="s">
        <v>1029</v>
      </c>
      <c r="H610" t="s">
        <v>90</v>
      </c>
    </row>
    <row r="611" spans="6:8" x14ac:dyDescent="0.25">
      <c r="F611" t="s">
        <v>41</v>
      </c>
      <c r="G611" t="s">
        <v>1032</v>
      </c>
      <c r="H611" t="s">
        <v>1033</v>
      </c>
    </row>
    <row r="612" spans="6:8" x14ac:dyDescent="0.25">
      <c r="F612" t="s">
        <v>41</v>
      </c>
      <c r="G612" t="s">
        <v>1039</v>
      </c>
      <c r="H612" t="s">
        <v>808</v>
      </c>
    </row>
    <row r="613" spans="6:8" x14ac:dyDescent="0.25">
      <c r="F613" t="s">
        <v>41</v>
      </c>
      <c r="G613" t="s">
        <v>1043</v>
      </c>
      <c r="H613" t="s">
        <v>599</v>
      </c>
    </row>
    <row r="614" spans="6:8" x14ac:dyDescent="0.25">
      <c r="F614" t="s">
        <v>41</v>
      </c>
      <c r="G614" t="s">
        <v>1051</v>
      </c>
      <c r="H614" t="s">
        <v>952</v>
      </c>
    </row>
    <row r="615" spans="6:8" x14ac:dyDescent="0.25">
      <c r="F615" t="s">
        <v>41</v>
      </c>
      <c r="G615" t="s">
        <v>1058</v>
      </c>
      <c r="H615" t="s">
        <v>499</v>
      </c>
    </row>
    <row r="616" spans="6:8" x14ac:dyDescent="0.25">
      <c r="F616" t="s">
        <v>41</v>
      </c>
      <c r="G616" t="s">
        <v>1062</v>
      </c>
      <c r="H616" t="s">
        <v>643</v>
      </c>
    </row>
    <row r="617" spans="6:8" x14ac:dyDescent="0.25">
      <c r="F617" t="s">
        <v>41</v>
      </c>
      <c r="G617" t="s">
        <v>1066</v>
      </c>
      <c r="H617" t="s">
        <v>158</v>
      </c>
    </row>
    <row r="618" spans="6:8" x14ac:dyDescent="0.25">
      <c r="F618" t="s">
        <v>41</v>
      </c>
      <c r="G618" t="s">
        <v>1071</v>
      </c>
      <c r="H618" t="s">
        <v>340</v>
      </c>
    </row>
    <row r="619" spans="6:8" x14ac:dyDescent="0.25">
      <c r="F619" t="s">
        <v>41</v>
      </c>
      <c r="G619" t="s">
        <v>1103</v>
      </c>
      <c r="H619" t="s">
        <v>430</v>
      </c>
    </row>
  </sheetData>
  <autoFilter ref="P1:Q86"/>
  <pageMargins left="0.7" right="0.7" top="0.75" bottom="0.75" header="0.3" footer="0.3"/>
  <pageSetup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145" id="{D9EDA8D6-4DE9-4B78-83A1-CF068D658A0E}">
            <xm:f>ISERROR(VLOOKUP(Training_DB!#REF!,$N$2:$N$40,1,0))</xm:f>
            <x14:dxf/>
          </x14:cfRule>
          <xm:sqref>H2:H2814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Guidance</vt:lpstr>
      <vt:lpstr>Training_Summary</vt:lpstr>
      <vt:lpstr>Training_DB</vt:lpstr>
      <vt:lpstr>PO_List</vt:lpstr>
      <vt:lpstr>Vocab_NameList</vt:lpstr>
      <vt:lpstr>Academic_Qualifications</vt:lpstr>
      <vt:lpstr>ACTIVITY_CURRICULUM</vt:lpstr>
      <vt:lpstr>ACTIVITY_LIST</vt:lpstr>
      <vt:lpstr>ACTIVITY_START</vt:lpstr>
      <vt:lpstr>CURRICULUM</vt:lpstr>
      <vt:lpstr>DISTRICT</vt:lpstr>
      <vt:lpstr>DISTRICT_CODE</vt:lpstr>
      <vt:lpstr>DISTRICTCOL</vt:lpstr>
      <vt:lpstr>DISTRICTSTART</vt:lpstr>
      <vt:lpstr>PO</vt:lpstr>
      <vt:lpstr>PO_ACRONYM</vt:lpstr>
      <vt:lpstr>sex</vt:lpstr>
      <vt:lpstr>VDC</vt:lpstr>
      <vt:lpstr>VDC_CODE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Psyched</dc:creator>
  <cp:lastModifiedBy>PRADHAN Gaurab</cp:lastModifiedBy>
  <cp:lastPrinted>2016-03-10T10:38:42Z</cp:lastPrinted>
  <dcterms:created xsi:type="dcterms:W3CDTF">2016-02-26T04:03:16Z</dcterms:created>
  <dcterms:modified xsi:type="dcterms:W3CDTF">2016-07-12T07:48:00Z</dcterms:modified>
</cp:coreProperties>
</file>